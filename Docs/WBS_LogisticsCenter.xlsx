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프로젝트WBS" sheetId="1" state="visible" r:id="rId2"/>
    <sheet name="휴일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<sst xmlns="http://schemas.openxmlformats.org/spreadsheetml/2006/main" count="620" uniqueCount="380">
  <si>
    <t xml:space="preserve">물류센터 자동 분류, 파레타이징, 출하 디지털 트윈 WBS</t>
  </si>
  <si>
    <t xml:space="preserve">실적기준일 : </t>
  </si>
  <si>
    <t xml:space="preserve">SPI</t>
  </si>
  <si>
    <t xml:space="preserve">단계</t>
  </si>
  <si>
    <t xml:space="preserve">TASK</t>
  </si>
  <si>
    <t xml:space="preserve">범위</t>
  </si>
  <si>
    <t xml:space="preserve">담당</t>
  </si>
  <si>
    <t xml:space="preserve">산출물</t>
  </si>
  <si>
    <t xml:space="preserve">완료 조건 (TC)</t>
  </si>
  <si>
    <t xml:space="preserve">계획
시작일</t>
  </si>
  <si>
    <t xml:space="preserve">예상
완료일</t>
  </si>
  <si>
    <t xml:space="preserve">실제
시작일</t>
  </si>
  <si>
    <t xml:space="preserve">실제
완료(예정)일</t>
  </si>
  <si>
    <t xml:space="preserve">계획
기간</t>
  </si>
  <si>
    <t xml:space="preserve">실제
기간</t>
  </si>
  <si>
    <t xml:space="preserve">계획
진행</t>
  </si>
  <si>
    <t xml:space="preserve">실제
진행</t>
  </si>
  <si>
    <t xml:space="preserve">계획
완료율</t>
  </si>
  <si>
    <t xml:space="preserve">작업
완료율</t>
  </si>
  <si>
    <t xml:space="preserve">프로젝트 실적</t>
  </si>
  <si>
    <t xml:space="preserve">10일 개발 일정 (10/27~11/5)</t>
  </si>
  <si>
    <t xml:space="preserve">진척율</t>
  </si>
  <si>
    <t xml:space="preserve">달성율</t>
  </si>
  <si>
    <t xml:space="preserve">26. 10월</t>
  </si>
  <si>
    <t xml:space="preserve">26. 11월</t>
  </si>
  <si>
    <t xml:space="preserve">가중치</t>
  </si>
  <si>
    <t xml:space="preserve">수행단계</t>
  </si>
  <si>
    <t xml:space="preserve">기획/문서/에셋</t>
  </si>
  <si>
    <t xml:space="preserve">FR-01~FR-24
NFR-01~NFR-07</t>
  </si>
  <si>
    <t xml:space="preserve">SRS v1.1 요구사항과 TC 번호 확정</t>
  </si>
  <si>
    <t xml:space="preserve">필수</t>
  </si>
  <si>
    <t xml:space="preserve">이영노</t>
  </si>
  <si>
    <t xml:space="preserve">SRS_LogisticsCenter_v1.1.docx</t>
  </si>
  <si>
    <t xml:space="preserve">FR-01~FR-24, NFR-01~NFR-07이 TC-01~TC-31에 1:1로 연결됨</t>
  </si>
  <si>
    <t xml:space="preserve">SRS 기준 WBS 작성</t>
  </si>
  <si>
    <t xml:space="preserve">WBS_LogisticsCenter.xlsx</t>
  </si>
  <si>
    <t xml:space="preserve">모든 FR과 NFR이 작업과 완료 조건의 TC에 연결됨</t>
  </si>
  <si>
    <t xml:space="preserve">FR-01</t>
  </si>
  <si>
    <t xml:space="preserve">물류센터 건물 에셋 준비</t>
  </si>
  <si>
    <t xml:space="preserve">건물 Prefab</t>
  </si>
  <si>
    <t xml:space="preserve">외벽, 바닥, 출입구 모델이 Unity에 Import됨</t>
  </si>
  <si>
    <t xml:space="preserve">FR-05</t>
  </si>
  <si>
    <t xml:space="preserve">메인 컨베이어 에셋 준비</t>
  </si>
  <si>
    <t xml:space="preserve">컨베이어 Prefab</t>
  </si>
  <si>
    <t xml:space="preserve">직선과 곡선 구간 모델이 Unity에 Import됨</t>
  </si>
  <si>
    <t xml:space="preserve">FR-08</t>
  </si>
  <si>
    <t xml:space="preserve">경사 롤러 컨베이어 에셋 준비</t>
  </si>
  <si>
    <t xml:space="preserve">롤러 Prefab</t>
  </si>
  <si>
    <t xml:space="preserve">구동부 없는 롤러 모델이 Unity에 Import됨</t>
  </si>
  <si>
    <t xml:space="preserve">FR-03</t>
  </si>
  <si>
    <t xml:space="preserve">박스 모델 준비</t>
  </si>
  <si>
    <t xml:space="preserve">박스 Prefab</t>
  </si>
  <si>
    <t xml:space="preserve">360×280×340mm, 2kg 박스 모델 생성</t>
  </si>
  <si>
    <t xml:space="preserve">FR-10</t>
  </si>
  <si>
    <t xml:space="preserve">파레트 모델 준비</t>
  </si>
  <si>
    <t xml:space="preserve">파레트 Prefab</t>
  </si>
  <si>
    <t xml:space="preserve">1100×1100×150mm 파레트 모델 생성</t>
  </si>
  <si>
    <t xml:space="preserve">FR5 URDF와 STL Import</t>
  </si>
  <si>
    <t xml:space="preserve">FR5 Prefab</t>
  </si>
  <si>
    <t xml:space="preserve">fairino5_v6 관절 제한과 링크 형상 반영. 파일 사용 권리 확인 결과 기록</t>
  </si>
  <si>
    <t xml:space="preserve">FR-09</t>
  </si>
  <si>
    <t xml:space="preserve">흡착 툴 모델 준비</t>
  </si>
  <si>
    <t xml:space="preserve">흡착 툴 Prefab</t>
  </si>
  <si>
    <t xml:space="preserve">툴 길이 182.8mm 반영, FR5 플랜지에 장착됨</t>
  </si>
  <si>
    <t xml:space="preserve">FR-13, FR-14</t>
  </si>
  <si>
    <t xml:space="preserve">AMR 지게차 모델 준비</t>
  </si>
  <si>
    <t xml:space="preserve">AMR Prefab</t>
  </si>
  <si>
    <t xml:space="preserve">포크로 파레트를 들 수 있는 모델이 Import됨</t>
  </si>
  <si>
    <t xml:space="preserve">FR-15~FR-17</t>
  </si>
  <si>
    <t xml:space="preserve">출하 차량 모델 준비</t>
  </si>
  <si>
    <t xml:space="preserve">차량 Prefab</t>
  </si>
  <si>
    <t xml:space="preserve">적재함에 파레트 10개를 2열로 놓을 수 있음</t>
  </si>
  <si>
    <t xml:space="preserve">FR-06</t>
  </si>
  <si>
    <t xml:space="preserve">Code 128 라벨 이미지 준비</t>
  </si>
  <si>
    <t xml:space="preserve">라벨 이미지 3종</t>
  </si>
  <si>
    <t xml:space="preserve">L01, L02, L03 라벨 이미지 생성</t>
  </si>
  <si>
    <t xml:space="preserve">ZXing.Net 패키지 Import</t>
  </si>
  <si>
    <t xml:space="preserve">ZXing.Net</t>
  </si>
  <si>
    <t xml:space="preserve">Unity에서 컴파일 오류 없이 참조됨</t>
  </si>
  <si>
    <t xml:space="preserve">씬 구성</t>
  </si>
  <si>
    <t xml:space="preserve">물류센터 건물 외벽과 바닥 배치</t>
  </si>
  <si>
    <t xml:space="preserve">LogisticsCenter 씬</t>
  </si>
  <si>
    <t xml:space="preserve">건물 외벽과 바닥이 배치되고 내부에 4개 구역 공간이 확보됨</t>
  </si>
  <si>
    <t xml:space="preserve">투입 구역 배치</t>
  </si>
  <si>
    <t xml:space="preserve">투입 구역</t>
  </si>
  <si>
    <t xml:space="preserve">투입 구역 경계와 박스 투입 위치가 표시됨</t>
  </si>
  <si>
    <t xml:space="preserve">분류 구역 배치</t>
  </si>
  <si>
    <t xml:space="preserve">분류 구역</t>
  </si>
  <si>
    <t xml:space="preserve">분류 구역 경계와 바코드 판독 위치가 표시됨</t>
  </si>
  <si>
    <t xml:space="preserve">파레타이징 구역 배치</t>
  </si>
  <si>
    <t xml:space="preserve">파레타이징 구역</t>
  </si>
  <si>
    <t xml:space="preserve">레인 3개에 대응하는 FR5 셀 3곳의 공간이 확보됨</t>
  </si>
  <si>
    <t xml:space="preserve">출하 도크 구역 배치</t>
  </si>
  <si>
    <t xml:space="preserve">출하 도크 구역</t>
  </si>
  <si>
    <t xml:space="preserve">도크 3개 위치와 차량 대기 공간이 확보됨</t>
  </si>
  <si>
    <t xml:space="preserve">FR-01, FR-05</t>
  </si>
  <si>
    <t xml:space="preserve">순환 메인 컨베이어 배치</t>
  </si>
  <si>
    <t xml:space="preserve">컨베이어 배치</t>
  </si>
  <si>
    <t xml:space="preserve">투입 위치에서 시작하는 순환 경로가 끊김 없이 연결됨</t>
  </si>
  <si>
    <t xml:space="preserve">FR-01, FR-07</t>
  </si>
  <si>
    <t xml:space="preserve">레인 분기 장치 3개 배치</t>
  </si>
  <si>
    <t xml:space="preserve">분기 장치 배치</t>
  </si>
  <si>
    <t xml:space="preserve">메인 컨베이어 위 레인 1~3 분기점에 설치됨</t>
  </si>
  <si>
    <t xml:space="preserve">FR-01, FR-08</t>
  </si>
  <si>
    <t xml:space="preserve">경사 롤러 레인 3개 배치</t>
  </si>
  <si>
    <t xml:space="preserve">레인 배치</t>
  </si>
  <si>
    <t xml:space="preserve">레인 3개가 분기점에서 픽업 구역까지 연결됨</t>
  </si>
  <si>
    <t xml:space="preserve">FR-01, FR-19</t>
  </si>
  <si>
    <t xml:space="preserve">레인별 중간 대기 스토퍼 배치</t>
  </si>
  <si>
    <t xml:space="preserve">중간 스토퍼 배치</t>
  </si>
  <si>
    <t xml:space="preserve">레인마다 픽업 구역 앞에 1개 설치됨</t>
  </si>
  <si>
    <t xml:space="preserve">FR-01, FR-22</t>
  </si>
  <si>
    <t xml:space="preserve">레인별 픽업 끝 스토퍼 배치</t>
  </si>
  <si>
    <t xml:space="preserve">끝 스토퍼 배치</t>
  </si>
  <si>
    <t xml:space="preserve">레인마다 픽업 구역 끝에 중간 스토퍼와 별도로 설치됨</t>
  </si>
  <si>
    <t xml:space="preserve">레인별 측면 가이드 배치</t>
  </si>
  <si>
    <t xml:space="preserve">측면 가이드 배치</t>
  </si>
  <si>
    <t xml:space="preserve">픽업 구역 양쪽에 박스 폭 280mm 기준으로 설치됨</t>
  </si>
  <si>
    <t xml:space="preserve">FR-01, FR-10</t>
  </si>
  <si>
    <t xml:space="preserve">레인별 FR5 3대 배치</t>
  </si>
  <si>
    <t xml:space="preserve">FR5 배치</t>
  </si>
  <si>
    <t xml:space="preserve">베이스 높이 950mm로 레인마다 1대 설치됨</t>
  </si>
  <si>
    <t xml:space="preserve">레인별 파레트 작업 위치 3곳 배치</t>
  </si>
  <si>
    <t xml:space="preserve">파레트 위치</t>
  </si>
  <si>
    <t xml:space="preserve">로봇 축에서 파레트 가까운 변까지 150mm로 배치</t>
  </si>
  <si>
    <t xml:space="preserve">FR-01, FR-13</t>
  </si>
  <si>
    <t xml:space="preserve">AMR 3대 배치</t>
  </si>
  <si>
    <t xml:space="preserve">AMR 배치</t>
  </si>
  <si>
    <t xml:space="preserve">AMR 1~3이 레인 1~3 대기 위치에 배치됨</t>
  </si>
  <si>
    <t xml:space="preserve">FR-01, FR-15</t>
  </si>
  <si>
    <t xml:space="preserve">도크별 대기 차량 3대 배치</t>
  </si>
  <si>
    <t xml:space="preserve">차량 배치</t>
  </si>
  <si>
    <t xml:space="preserve">도크 1~3에 차량이 1대씩 배치됨</t>
  </si>
  <si>
    <t xml:space="preserve">FR-10, FR-22</t>
  </si>
  <si>
    <t xml:space="preserve">끝 스토퍼와 측면 가이드 배치 간섭 1차 확인</t>
  </si>
  <si>
    <t xml:space="preserve">간섭 확인 기록</t>
  </si>
  <si>
    <t xml:space="preserve">FR5 픽업 자세에서 툴, 박스와 스토퍼, 가이드가 겹치지 않음</t>
  </si>
  <si>
    <t xml:space="preserve">FR-02</t>
  </si>
  <si>
    <t xml:space="preserve">전체, 분류, FR5, 도크 카메라 4개 배치</t>
  </si>
  <si>
    <t xml:space="preserve">카메라 배치</t>
  </si>
  <si>
    <t xml:space="preserve">카메라 4개가 각 구역 전체를 비춤</t>
  </si>
  <si>
    <t xml:space="preserve">FR-02, UI-04</t>
  </si>
  <si>
    <t xml:space="preserve">카메라 전환 기능</t>
  </si>
  <si>
    <t xml:space="preserve">CameraSwitcher</t>
  </si>
  <si>
    <t xml:space="preserve">TC-02 통과: 4개 뷰 선택 시 해당 구역 카메라로 전환</t>
  </si>
  <si>
    <t xml:space="preserve">FR-01, UI-01</t>
  </si>
  <si>
    <t xml:space="preserve">조명 배치</t>
  </si>
  <si>
    <t xml:space="preserve">조명 설정</t>
  </si>
  <si>
    <t xml:space="preserve">4개 뷰에서 설비와 바코드 라벨이 보임</t>
  </si>
  <si>
    <t xml:space="preserve">URP 렌더링 설정</t>
  </si>
  <si>
    <t xml:space="preserve">URP 설정</t>
  </si>
  <si>
    <t xml:space="preserve">URP 17.6.0 설정으로 4개 뷰가 렌더링됨</t>
  </si>
  <si>
    <t xml:space="preserve">씬 구성 검사</t>
  </si>
  <si>
    <t xml:space="preserve">TC-01 결과</t>
  </si>
  <si>
    <t xml:space="preserve">TC-01 통과: 4개 구역과 구역별 설비 배치 확인</t>
  </si>
  <si>
    <t xml:space="preserve">공정 구현</t>
  </si>
  <si>
    <t xml:space="preserve">박스 생성기 구현</t>
  </si>
  <si>
    <t xml:space="preserve">BoxSpawner</t>
  </si>
  <si>
    <t xml:space="preserve">TC-03 통과: 360×280×340mm, 2kg 박스 생성</t>
  </si>
  <si>
    <t xml:space="preserve">FR-04</t>
  </si>
  <si>
    <t xml:space="preserve">투입 간격 측정과 값 확정</t>
  </si>
  <si>
    <t xml:space="preserve">투입 간격 값</t>
  </si>
  <si>
    <t xml:space="preserve">TC-04 통과: 측정 후 정한 간격으로 생성. 간격 값 기록</t>
  </si>
  <si>
    <t xml:space="preserve">순환 메인 컨베이어 상시 구동</t>
  </si>
  <si>
    <t xml:space="preserve">MainConveyor</t>
  </si>
  <si>
    <t xml:space="preserve">TC-05 통과: 분기하지 못한 박스가 메인에서 계속 순환</t>
  </si>
  <si>
    <t xml:space="preserve">FR-06, NFR-03</t>
  </si>
  <si>
    <t xml:space="preserve">바코드 이미지 판독 구현</t>
  </si>
  <si>
    <t xml:space="preserve">BarcodeReader</t>
  </si>
  <si>
    <t xml:space="preserve">TC-06 통과: L01, L02, L03 라벨에서 같은 문자열 판독. 미판독 처리는 MVP 제외</t>
  </si>
  <si>
    <t xml:space="preserve">FR-07</t>
  </si>
  <si>
    <t xml:space="preserve">판독 결과에 따른 3개 레인 분기</t>
  </si>
  <si>
    <t xml:space="preserve">LaneDiverter</t>
  </si>
  <si>
    <t xml:space="preserve">TC-07 통과: L01, L02, L03 박스가 1, 2, 3번 레인으로 분기</t>
  </si>
  <si>
    <t xml:space="preserve">무동력 경사 롤러 이송</t>
  </si>
  <si>
    <t xml:space="preserve">GravityRoller</t>
  </si>
  <si>
    <t xml:space="preserve">TC-08 통과: 구동 벨트 힘 없이 픽업 구역에 도착</t>
  </si>
  <si>
    <t xml:space="preserve">FR-22</t>
  </si>
  <si>
    <t xml:space="preserve">끝 스토퍼와 측면 가이드로 픽업 위치 정렬</t>
  </si>
  <si>
    <t xml:space="preserve">PickupAligner</t>
  </si>
  <si>
    <t xml:space="preserve">TC-22 통과: 박스가 지정 픽업 위치와 방향에 정렬</t>
  </si>
  <si>
    <t xml:space="preserve">FR-19</t>
  </si>
  <si>
    <t xml:space="preserve">중간 대기 스토퍼 개폐와 1개씩 방출</t>
  </si>
  <si>
    <t xml:space="preserve">MiddleStopper</t>
  </si>
  <si>
    <t xml:space="preserve">FR5 취급 중 닫힘. 다음 픽업 가능 시 1개만 방출 후 닫힘</t>
  </si>
  <si>
    <t xml:space="preserve">FR5 흡착과 해제</t>
  </si>
  <si>
    <t xml:space="preserve">VacuumGripper</t>
  </si>
  <si>
    <t xml:space="preserve">TC-09 통과: 흡착점에서 부착, 적재점에서 해제</t>
  </si>
  <si>
    <t xml:space="preserve">FR5 3대 IK 설정</t>
  </si>
  <si>
    <t xml:space="preserve">FR5 IK</t>
  </si>
  <si>
    <t xml:space="preserve">3대 모두 픽업점과 적재 위치에 도달</t>
  </si>
  <si>
    <t xml:space="preserve">지정 위치 적재 스크립트</t>
  </si>
  <si>
    <t xml:space="preserve">FR5 적재 스크립트</t>
  </si>
  <si>
    <t xml:space="preserve">TC-10 통과: 3개 레인 FR5가 지정한 빈 위치에 적재. 실패 자리는 완료로 세지 않음</t>
  </si>
  <si>
    <t xml:space="preserve">FR-11</t>
  </si>
  <si>
    <t xml:space="preserve">층당 6자리 완전 적재 순서</t>
  </si>
  <si>
    <t xml:space="preserve">PalletLayer</t>
  </si>
  <si>
    <t xml:space="preserve">TC-11 통과: 6자리 완료 전 다음 층 적재 없음</t>
  </si>
  <si>
    <t xml:space="preserve">FR-12</t>
  </si>
  <si>
    <t xml:space="preserve">적재 층 수 L 도달 시 파레트 완료 판정</t>
  </si>
  <si>
    <t xml:space="preserve">PalletState</t>
  </si>
  <si>
    <t xml:space="preserve">TC-12 통과: L=3은 17개 미완료, 18개 완료. L=2는 11개 미완료, 12개 완료</t>
  </si>
  <si>
    <t xml:space="preserve">FR-23, FR-12
FR-16</t>
  </si>
  <si>
    <t xml:space="preserve">기본 설정과 시연 설정 분리</t>
  </si>
  <si>
    <t xml:space="preserve">설정 데이터 2종</t>
  </si>
  <si>
    <t xml:space="preserve">TC-23 통과: 기본 L=3, N=10과 시연 L=2, N=3 적용. 층당 6개 유지</t>
  </si>
  <si>
    <t xml:space="preserve">FR-13</t>
  </si>
  <si>
    <t xml:space="preserve">레인, AMR, 도크 전담 연결</t>
  </si>
  <si>
    <t xml:space="preserve">AMR 할당</t>
  </si>
  <si>
    <t xml:space="preserve">레인 1~3이 AMR 1~3, 도크 1~3에 연결되고 차량 교체 후에도 유지</t>
  </si>
  <si>
    <t xml:space="preserve">완료 파레트 인양</t>
  </si>
  <si>
    <t xml:space="preserve">AMR 포크 동작</t>
  </si>
  <si>
    <t xml:space="preserve">TC-13 통과: 전담 관계 확인, 완료 신호 후 이동과 인양</t>
  </si>
  <si>
    <t xml:space="preserve">FR-14</t>
  </si>
  <si>
    <t xml:space="preserve">AMR 경로 탐색과 이동</t>
  </si>
  <si>
    <t xml:space="preserve">AmrController</t>
  </si>
  <si>
    <t xml:space="preserve">레인 파레트 위치에서 전담 도크까지 이동</t>
  </si>
  <si>
    <t xml:space="preserve">AMR 장애물 발견 시 정지</t>
  </si>
  <si>
    <t xml:space="preserve">AMR 장애물 감지</t>
  </si>
  <si>
    <t xml:space="preserve">TC-14 통과: 장애물 발견 시 정지. 해소 후 재개 조건은 시험 후 기록</t>
  </si>
  <si>
    <t xml:space="preserve">FR-15</t>
  </si>
  <si>
    <t xml:space="preserve">전담 도크 차량 상차</t>
  </si>
  <si>
    <t xml:space="preserve">TruckLoader</t>
  </si>
  <si>
    <t xml:space="preserve">파레트가 전담 도크 차량 적재함의 지정 자리에 놓임</t>
  </si>
  <si>
    <t xml:space="preserve">상차 실패 재시도</t>
  </si>
  <si>
    <t xml:space="preserve">재시도 로직</t>
  </si>
  <si>
    <t xml:space="preserve">TC-15 통과: 실패 시 자체 재시도. 횟수와 간격, 반복 실패 처리 결정 후 기록</t>
  </si>
  <si>
    <t xml:space="preserve">FR-16</t>
  </si>
  <si>
    <t xml:space="preserve">차량 만재 판정</t>
  </si>
  <si>
    <t xml:space="preserve">TruckState</t>
  </si>
  <si>
    <t xml:space="preserve">TC-16 통과: N=10은 9개 미만재, 10개 만재. N=3은 2개 미만재, 3개 만재</t>
  </si>
  <si>
    <t xml:space="preserve">FR-17</t>
  </si>
  <si>
    <t xml:space="preserve">만재 차량 출발</t>
  </si>
  <si>
    <t xml:space="preserve">DockManager</t>
  </si>
  <si>
    <t xml:space="preserve">N개 상차 차량이 도크를 떠남</t>
  </si>
  <si>
    <t xml:space="preserve">같은 도크에 다음 차량 배치</t>
  </si>
  <si>
    <t xml:space="preserve">TC-17 통과: 출발 후 같은 도크에 다음 차량 배치</t>
  </si>
  <si>
    <t xml:space="preserve">기능 연결</t>
  </si>
  <si>
    <t xml:space="preserve">레인별 순환 대기 수 집계</t>
  </si>
  <si>
    <t xml:space="preserve">LaneMonitor</t>
  </si>
  <si>
    <t xml:space="preserve">바코드별 순환 대기 수가 실제 박스 수와 일치</t>
  </si>
  <si>
    <t xml:space="preserve">레인별 5개 제한</t>
  </si>
  <si>
    <t xml:space="preserve">순환 대기 3개, 스토퍼 앞 1개, 픽업 또는 FR5 취급 1개로 총 5개 제한</t>
  </si>
  <si>
    <t xml:space="preserve">정체 판정과 해당 바코드 투입 중지</t>
  </si>
  <si>
    <t xml:space="preserve">CongestionControl</t>
  </si>
  <si>
    <t xml:space="preserve">순환 대기 3개에서 정체 판정, 해당 바코드 새 박스 투입 중지</t>
  </si>
  <si>
    <t xml:space="preserve">FR-19, UI-03</t>
  </si>
  <si>
    <t xml:space="preserve">정체 알람 표시</t>
  </si>
  <si>
    <t xml:space="preserve">알람 UI</t>
  </si>
  <si>
    <t xml:space="preserve">정체 발생, 투입 중지, 중간 스토퍼 개폐, 해제 상태가 표시됨</t>
  </si>
  <si>
    <t xml:space="preserve">FR-19, FR-05</t>
  </si>
  <si>
    <t xml:space="preserve">정체 해제와 투입 재개</t>
  </si>
  <si>
    <t xml:space="preserve">TC-19 통과: 2개 유지, 1개 이하 해제와 재개. TC-05 정체 중 메인 운전과 기존 박스 분기 재확인</t>
  </si>
  <si>
    <t xml:space="preserve">FR-20</t>
  </si>
  <si>
    <t xml:space="preserve">적재 완료 신호를 전담 AMR에 전달</t>
  </si>
  <si>
    <t xml:space="preserve">신호 연결</t>
  </si>
  <si>
    <t xml:space="preserve">해당 레인 AMR만 신호를 받고 이동 시작</t>
  </si>
  <si>
    <t xml:space="preserve">빈 파레트 재생성</t>
  </si>
  <si>
    <t xml:space="preserve">PalletRespawner</t>
  </si>
  <si>
    <t xml:space="preserve">완성 파레트 반출 후 같은 위치에 빈 파레트 생성</t>
  </si>
  <si>
    <t xml:space="preserve">차량 파레트 수 갱신</t>
  </si>
  <si>
    <t xml:space="preserve">TC-20 통과: 신호 전달, 빈 파레트 재생성, 상차 후 파레트 수 1 증가</t>
  </si>
  <si>
    <t xml:space="preserve">FR-21, UI-04</t>
  </si>
  <si>
    <t xml:space="preserve">시작, 일시정지, 재개 조작</t>
  </si>
  <si>
    <t xml:space="preserve">조작 UI</t>
  </si>
  <si>
    <t xml:space="preserve">버튼 입력에 따라 공정이 시작, 정지, 재개됨</t>
  </si>
  <si>
    <t xml:space="preserve">초기화 조작</t>
  </si>
  <si>
    <t xml:space="preserve">시험 전 정한 범위의 상태와 기록이 초기화됨</t>
  </si>
  <si>
    <t xml:space="preserve">생산속도 조절</t>
  </si>
  <si>
    <t xml:space="preserve">TC-21 통과: 5개 조작 동작. 속도 범위는 측정 후 확정</t>
  </si>
  <si>
    <t xml:space="preserve">FR-23, UI-04</t>
  </si>
  <si>
    <t xml:space="preserve">기본 또는 시연 설정 선택 UI</t>
  </si>
  <si>
    <t xml:space="preserve">설정 선택 UI</t>
  </si>
  <si>
    <t xml:space="preserve">선택한 설정이 적재 완료와 만재 판정에 적용됨</t>
  </si>
  <si>
    <t xml:space="preserve">현재 L, N 표시</t>
  </si>
  <si>
    <t xml:space="preserve">설정 표시 UI</t>
  </si>
  <si>
    <t xml:space="preserve">선택한 설정의 L, N이 화면에 표시됨</t>
  </si>
  <si>
    <t xml:space="preserve">FR-18, UI-02</t>
  </si>
  <si>
    <t xml:space="preserve">공정 상태 모니터 표시</t>
  </si>
  <si>
    <t xml:space="preserve">상태 UI</t>
  </si>
  <si>
    <t xml:space="preserve">처리 제품, 시간당 생산량, 레인 대기 수, 적재 단수, 설비 상태, 차량 상차 수 표시</t>
  </si>
  <si>
    <t xml:space="preserve">FR-18, NFR-06</t>
  </si>
  <si>
    <t xml:space="preserve">모니터 표시값 기록</t>
  </si>
  <si>
    <t xml:space="preserve">공정 기록 파일</t>
  </si>
  <si>
    <t xml:space="preserve">TC-18 통과: 화면값과 기록값 일치. 파일 형식과 저장 주기 결정 후 기록</t>
  </si>
  <si>
    <t xml:space="preserve">FR-01~FR-23</t>
  </si>
  <si>
    <t xml:space="preserve">MVP 전체 공정 한 사이클 확인</t>
  </si>
  <si>
    <t xml:space="preserve">MVP 빌드</t>
  </si>
  <si>
    <t xml:space="preserve">시연 설정에서 박스 투입부터 3개 레인 차량 출하와 교체까지 1회 완료</t>
  </si>
  <si>
    <t xml:space="preserve">MVP 결함 목록 작성</t>
  </si>
  <si>
    <t xml:space="preserve">결함 목록</t>
  </si>
  <si>
    <t xml:space="preserve">11/4 수정 대상 결함이 관련 FR과 TC 번호로 기록됨</t>
  </si>
  <si>
    <t xml:space="preserve">통합 시험과 수정</t>
  </si>
  <si>
    <t xml:space="preserve">TC-01~TC-23 기능 시험 재실행</t>
  </si>
  <si>
    <t xml:space="preserve">RTM 시험 결과</t>
  </si>
  <si>
    <t xml:space="preserve">TC-01~TC-23 결과를 RTM에 기록. 미통과 항목 결함 등록</t>
  </si>
  <si>
    <t xml:space="preserve">새 끝 스토퍼와 측면 가이드 간섭 확인</t>
  </si>
  <si>
    <t xml:space="preserve">간섭 시험 기록</t>
  </si>
  <si>
    <t xml:space="preserve">3개 레인 FR5 적재 경로에서 툴, 박스와 스토퍼, 가이드 충돌 없음. 기존 CAD 검사로 대체하지 않음</t>
  </si>
  <si>
    <t xml:space="preserve">시연 설정 통합 시험</t>
  </si>
  <si>
    <t xml:space="preserve">통합 시험 결과</t>
  </si>
  <si>
    <t xml:space="preserve">시연 L=2, N=3에서 3개 레인 차량 출하와 교체까지 완료</t>
  </si>
  <si>
    <t xml:space="preserve">기본 설정 통합 시험</t>
  </si>
  <si>
    <t xml:space="preserve">기본 L=3, N=10에서 3개 레인 차량 출하와 교체까지 완료</t>
  </si>
  <si>
    <t xml:space="preserve">NFR-01</t>
  </si>
  <si>
    <t xml:space="preserve">FPS 측정</t>
  </si>
  <si>
    <t xml:space="preserve">TC-25 결과</t>
  </si>
  <si>
    <t xml:space="preserve">TC-25 측정값 기록. 합격 수치는 측정 후 확정</t>
  </si>
  <si>
    <t xml:space="preserve">NFR-02</t>
  </si>
  <si>
    <t xml:space="preserve">처리량과 상태 갱신 간격 측정</t>
  </si>
  <si>
    <t xml:space="preserve">TC-26 결과</t>
  </si>
  <si>
    <t xml:space="preserve">TC-26 측정값 기록. 합격 수치는 측정 후 확정</t>
  </si>
  <si>
    <t xml:space="preserve">NFR-03</t>
  </si>
  <si>
    <t xml:space="preserve">바코드 판독 성공 수와 판독 시간 측정</t>
  </si>
  <si>
    <t xml:space="preserve">TC-27 결과</t>
  </si>
  <si>
    <t xml:space="preserve">TC-27 측정값 기록. 합격 수치는 측정 후 확정</t>
  </si>
  <si>
    <t xml:space="preserve">NFR-05</t>
  </si>
  <si>
    <t xml:space="preserve">Windows 10, Windows 11 실행 시험</t>
  </si>
  <si>
    <t xml:space="preserve">TC-29 결과</t>
  </si>
  <si>
    <t xml:space="preserve">TC-29 통과: 두 OS에서 한 사이클 시연</t>
  </si>
  <si>
    <t xml:space="preserve">NFR-06</t>
  </si>
  <si>
    <t xml:space="preserve">화면 수치와 기록 비교</t>
  </si>
  <si>
    <t xml:space="preserve">TC-30 결과</t>
  </si>
  <si>
    <t xml:space="preserve">TC-30 통과: 박스, 레인, 파레트, 차량 기록이 화면값과 일치</t>
  </si>
  <si>
    <t xml:space="preserve">NFR-07</t>
  </si>
  <si>
    <t xml:space="preserve">연속 운전 시험</t>
  </si>
  <si>
    <t xml:space="preserve">TC-31 결과</t>
  </si>
  <si>
    <t xml:space="preserve">TC-31 실행: 운전 시간과 합격 기준 확정 후 멈춤과 오류 기록</t>
  </si>
  <si>
    <t xml:space="preserve">결함 수정</t>
  </si>
  <si>
    <t xml:space="preserve">수정 빌드</t>
  </si>
  <si>
    <t xml:space="preserve">등록한 결함이 모두 수정됨</t>
  </si>
  <si>
    <t xml:space="preserve">미통과 TC 재시험</t>
  </si>
  <si>
    <t xml:space="preserve">수정한 결함의 TC 재시험 통과</t>
  </si>
  <si>
    <t xml:space="preserve">발표 준비</t>
  </si>
  <si>
    <t xml:space="preserve">FR-02, FR-23</t>
  </si>
  <si>
    <t xml:space="preserve">시연 설정 한 사이클 영상 촬영</t>
  </si>
  <si>
    <t xml:space="preserve">시연 영상</t>
  </si>
  <si>
    <t xml:space="preserve">4개 뷰가 포함된 투입부터 차량 출하까지 영상</t>
  </si>
  <si>
    <t xml:space="preserve">FR-01~FR-23
NFR-01~NFR-07</t>
  </si>
  <si>
    <t xml:space="preserve">발표자료 작성</t>
  </si>
  <si>
    <t xml:space="preserve">발표자료</t>
  </si>
  <si>
    <t xml:space="preserve">SRS 요구사항, TC-01~TC-31 결과, 시연 영상 포함</t>
  </si>
  <si>
    <t xml:space="preserve">최종 Windows 빌드</t>
  </si>
  <si>
    <t xml:space="preserve">Windows 빌드</t>
  </si>
  <si>
    <t xml:space="preserve">최종 빌드에서 시연 설정 한 사이클 실행</t>
  </si>
  <si>
    <t xml:space="preserve">최종 발표</t>
  </si>
  <si>
    <t xml:space="preserve">발표</t>
  </si>
  <si>
    <t xml:space="preserve">시연 영상과 발표자료로 발표 완료</t>
  </si>
  <si>
    <t xml:space="preserve">선택 확장
(FR-24)</t>
  </si>
  <si>
    <t xml:space="preserve">FR-24</t>
  </si>
  <si>
    <t xml:space="preserve">Unity 카메라 합성 이미지와 위치, 회전 정답 수집</t>
  </si>
  <si>
    <t xml:space="preserve">선택</t>
  </si>
  <si>
    <t xml:space="preserve">학습 데이터</t>
  </si>
  <si>
    <t xml:space="preserve">11/4 시험과 수정 완료 후 착수. 박스 위치와 수평 회전각 정답 포함</t>
  </si>
  <si>
    <t xml:space="preserve">CNN 학습</t>
  </si>
  <si>
    <t xml:space="preserve">학습 모델</t>
  </si>
  <si>
    <t xml:space="preserve">학습 프레임워크 확인 후 위치와 회전각 학습</t>
  </si>
  <si>
    <t xml:space="preserve">ONNX 변환</t>
  </si>
  <si>
    <t xml:space="preserve">ONNX 모델</t>
  </si>
  <si>
    <t xml:space="preserve">학습 모델을 ONNX로 변환</t>
  </si>
  <si>
    <t xml:space="preserve">Unity Sentis 추론</t>
  </si>
  <si>
    <t xml:space="preserve">CNN 추론</t>
  </si>
  <si>
    <t xml:space="preserve">ONNX 모델이 Unity 안에서 위치와 회전각을 출력</t>
  </si>
  <si>
    <t xml:space="preserve">픽업 목표 보정 연결</t>
  </si>
  <si>
    <t xml:space="preserve">픽업 보정</t>
  </si>
  <si>
    <t xml:space="preserve">TC-24 통과: 오차 확인. CNN 미적용 시에도 기본 공정 동작</t>
  </si>
  <si>
    <t xml:space="preserve">NFR-04</t>
  </si>
  <si>
    <t xml:space="preserve">CNN 위치와 회전 오차 측정</t>
  </si>
  <si>
    <t xml:space="preserve">TC-28 결과</t>
  </si>
  <si>
    <t xml:space="preserve">TC-28 측정값 기록. 미적용 시 TC-24, TC-28 해당 없음 기록</t>
  </si>
  <si>
    <t xml:space="preserve">합계 (계획 기간과 진행은 선택 확장 제외)</t>
  </si>
  <si>
    <t xml:space="preserve">비고</t>
  </si>
  <si>
    <t xml:space="preserve">■ 필수 작업 계획 기간. □ FR-24 선택 확장. 11/4 통합 시험과 수정 후 여유가 있을 때만 진행하며 진척율에서 제외.</t>
  </si>
  <si>
    <t xml:space="preserve">가중치: 기획 0.1, 씬 구성 0.2, 공정 구현 0.3, 기능 연결 0.2, 시험 0.1, 발표 0.1. 10/31, 11/1은 휴일로 일정과 계획 기간에서 제외.</t>
  </si>
  <si>
    <t xml:space="preserve">투입 간격, 속도 범위, 상차 재시도 조건, AMR 재개 조건, 성능 합격 수치, 기록 형식은 SRS에 따라 시험 후 확정.</t>
  </si>
  <si>
    <t xml:space="preserve">ML-Agents, ROS2, Nav2 작업은 범위에 포함하지 않음. 바코드 미판독 오류 처리는 MVP 제외.</t>
  </si>
  <si>
    <t xml:space="preserve">휴일</t>
  </si>
  <si>
    <t xml:space="preserve">내용</t>
  </si>
  <si>
    <t xml:space="preserve">휴일 (토)</t>
  </si>
  <si>
    <r>
      <rPr>
        <sz val="11"/>
        <color rgb="FF000000"/>
        <rFont val="Noto Sans CJK SC"/>
        <family val="2"/>
      </rPr>
      <t xml:space="preserve">휴일 </t>
    </r>
    <r>
      <rPr>
        <sz val="11"/>
        <color rgb="FF000000"/>
        <rFont val="Arial"/>
        <family val="2"/>
        <charset val="1"/>
      </rPr>
      <t xml:space="preserve">(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Arial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</si>
</sst>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.0%"/>
    <numFmt numFmtId="167" formatCode="General"/>
    <numFmt numFmtId="168" formatCode="0%"/>
    <numFmt numFmtId="169" formatCode="d"/>
    <numFmt numFmtId="170" formatCode="yyyy&quot;. &quot;m&quot;. &quot;d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0"/>
      <color rgb="FF262626"/>
      <name val="나눔고딕"/>
      <family val="3"/>
      <charset val="129"/>
    </font>
    <font>
      <b val="true"/>
      <sz val="11"/>
      <color rgb="FF262626"/>
      <name val="나눔고딕"/>
      <family val="3"/>
      <charset val="129"/>
    </font>
    <font>
      <b val="true"/>
      <sz val="11"/>
      <color rgb="FF0000FF"/>
      <name val="나눔고딕"/>
      <family val="3"/>
      <charset val="129"/>
    </font>
    <font>
      <b val="true"/>
      <sz val="11"/>
      <color rgb="FF434343"/>
      <name val="나눔고딕"/>
      <family val="3"/>
      <charset val="129"/>
    </font>
    <font>
      <b val="true"/>
      <sz val="11"/>
      <color rgb="FFFFFFFF"/>
      <name val="나눔고딕"/>
      <family val="3"/>
      <charset val="129"/>
    </font>
    <font>
      <sz val="11"/>
      <color rgb="FFFFFFFF"/>
      <name val="나눔고딕"/>
      <family val="3"/>
      <charset val="129"/>
    </font>
    <font>
      <b val="true"/>
      <sz val="11"/>
      <color rgb="FF000000"/>
      <name val="나눔고딕"/>
      <family val="3"/>
      <charset val="129"/>
    </font>
    <font>
      <sz val="9"/>
      <color rgb="FF262626"/>
      <name val="나눔고딕"/>
      <family val="3"/>
      <charset val="129"/>
    </font>
    <font>
      <sz val="11"/>
      <color rgb="FFD9D9D9"/>
      <name val="나눔고딕"/>
      <family val="3"/>
      <charset val="129"/>
    </font>
    <font>
      <sz val="11"/>
      <color rgb="FF262626"/>
      <name val="나눔고딕"/>
      <family val="3"/>
      <charset val="129"/>
    </font>
    <font>
      <sz val="11"/>
      <color rgb="FF434343"/>
      <name val="나눔고딕"/>
      <family val="3"/>
      <charset val="129"/>
    </font>
    <font>
      <sz val="8"/>
      <color rgb="FF4A86E8"/>
      <name val="나눔고딕"/>
      <family val="3"/>
      <charset val="129"/>
    </font>
    <font>
      <sz val="8"/>
      <color rgb="FF1F4E78"/>
      <name val="나눔고딕"/>
      <family val="3"/>
      <charset val="129"/>
    </font>
    <font>
      <b val="true"/>
      <sz val="10"/>
      <color rgb="FF262626"/>
      <name val="나눔고딕"/>
      <family val="0"/>
      <charset val="1"/>
    </font>
    <font>
      <sz val="10"/>
      <color rgb="FF262626"/>
      <name val="나눔고딕"/>
      <family val="0"/>
      <charset val="1"/>
    </font>
    <font>
      <b val="true"/>
      <sz val="11"/>
      <color rgb="FF000000"/>
      <name val="Noto Sans CJK SC"/>
      <family val="0"/>
      <charset val="1"/>
    </font>
    <font>
      <sz val="10"/>
      <color rgb="FF000000"/>
      <name val="Noto Sans CJK SC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Noto Sans CJK SC"/>
      <family val="0"/>
      <charset val="1"/>
    </font>
    <font>
      <sz val="11"/>
      <color rgb="FF000000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8F8F8"/>
      </patternFill>
    </fill>
    <fill>
      <patternFill patternType="solid">
        <fgColor rgb="FF404040"/>
        <bgColor rgb="FF434343"/>
      </patternFill>
    </fill>
    <fill>
      <patternFill patternType="solid">
        <fgColor rgb="FF434343"/>
        <bgColor rgb="FF404040"/>
      </patternFill>
    </fill>
    <fill>
      <patternFill patternType="solid">
        <fgColor rgb="FF4A86E8"/>
        <bgColor rgb="FF9999FF"/>
      </patternFill>
    </fill>
    <fill>
      <patternFill patternType="solid">
        <fgColor rgb="FFEFEFEF"/>
        <bgColor rgb="FFF3F3F3"/>
      </patternFill>
    </fill>
    <fill>
      <patternFill patternType="solid">
        <fgColor rgb="FF999999"/>
        <bgColor rgb="FF9999FF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EFEFEF"/>
      </patternFill>
    </fill>
    <fill>
      <patternFill patternType="solid">
        <fgColor rgb="FFFF0000"/>
        <bgColor rgb="FF993300"/>
      </patternFill>
    </fill>
    <fill>
      <patternFill patternType="solid">
        <fgColor rgb="FFF8F8F8"/>
        <bgColor rgb="FFF3F3F3"/>
      </patternFill>
    </fill>
    <fill>
      <patternFill patternType="solid">
        <fgColor rgb="FF666666"/>
        <bgColor rgb="FF595959"/>
      </patternFill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/>
      <right style="thin">
        <color rgb="FF595959"/>
      </right>
      <top style="thin"/>
      <bottom style="thin"/>
      <diagonal/>
    </border>
    <border diagonalUp="false" diagonalDown="false">
      <left style="thin">
        <color rgb="FF595959"/>
      </left>
      <right style="thin">
        <color rgb="FF595959"/>
      </right>
      <top style="thin"/>
      <bottom style="thin">
        <color rgb="FF59595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595959"/>
      </right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595959"/>
      </left>
      <right style="thin">
        <color rgb="FF595959"/>
      </right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>
        <color rgb="FFD9D9D9"/>
      </right>
      <top style="thin">
        <color rgb="FFCCCCCC"/>
      </top>
      <bottom style="thin"/>
      <diagonal/>
    </border>
    <border diagonalUp="false" diagonalDown="false">
      <left/>
      <right style="thin">
        <color rgb="FF999999"/>
      </right>
      <top/>
      <bottom style="thin">
        <color rgb="FFD9D9D9"/>
      </bottom>
      <diagonal/>
    </border>
    <border diagonalUp="false" diagonalDown="false">
      <left style="thin">
        <color rgb="FF999999"/>
      </left>
      <right style="thin">
        <color rgb="FF999999"/>
      </right>
      <top/>
      <bottom style="thin">
        <color rgb="FFD9D9D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/>
      <top style="thin">
        <color rgb="FF666666"/>
      </top>
      <bottom style="thin">
        <color rgb="FF666666"/>
      </bottom>
      <diagonal/>
    </border>
    <border diagonalUp="false" diagonalDown="false">
      <left style="thin"/>
      <right style="thin">
        <color rgb="FFD9D9D9"/>
      </right>
      <top style="thin"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/>
      <bottom style="thin">
        <color rgb="FFD9D9D9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1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FFFFF"/>
      </font>
    </dxf>
    <dxf>
      <fill>
        <patternFill>
          <bgColor rgb="FF0000FF"/>
        </patternFill>
      </fill>
    </dxf>
    <dxf>
      <fill>
        <patternFill>
          <bgColor rgb="FF00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595959"/>
      <rgbColor rgb="FF9999FF"/>
      <rgbColor rgb="FF993366"/>
      <rgbColor rgb="FFF8F8F8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66"/>
      <rgbColor rgb="FF999999"/>
      <rgbColor rgb="FF434343"/>
      <rgbColor rgb="FF339966"/>
      <rgbColor rgb="FF003300"/>
      <rgbColor rgb="FF404040"/>
      <rgbColor rgb="FF993300"/>
      <rgbColor rgb="FF993366"/>
      <rgbColor rgb="FF1F4E78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14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N12" activeCellId="0" sqref="N12"/>
    </sheetView>
  </sheetViews>
  <sheetFormatPr defaultColWidth="8.6953125" defaultRowHeight="12.75" zeroHeight="false" outlineLevelRow="0" outlineLevelCol="0"/>
  <cols>
    <col collapsed="false" customWidth="true" hidden="false" outlineLevel="0" max="1" min="1" style="1" width="1.32"/>
    <col collapsed="false" customWidth="true" hidden="false" outlineLevel="0" max="2" min="2" style="1" width="4.4"/>
    <col collapsed="false" customWidth="true" hidden="false" outlineLevel="0" max="3" min="3" style="1" width="8"/>
    <col collapsed="false" customWidth="true" hidden="false" outlineLevel="0" max="4" min="4" style="1" width="14.01"/>
    <col collapsed="false" customWidth="true" hidden="false" outlineLevel="0" max="5" min="5" style="1" width="19"/>
    <col collapsed="false" customWidth="true" hidden="false" outlineLevel="0" max="6" min="6" style="1" width="40"/>
    <col collapsed="false" customWidth="true" hidden="false" outlineLevel="0" max="7" min="7" style="1" width="7"/>
    <col collapsed="false" customWidth="true" hidden="false" outlineLevel="0" max="8" min="8" style="1" width="8"/>
    <col collapsed="false" customWidth="true" hidden="false" outlineLevel="0" max="9" min="9" style="1" width="22.01"/>
    <col collapsed="false" customWidth="true" hidden="false" outlineLevel="0" max="10" min="10" style="1" width="52"/>
    <col collapsed="false" customWidth="true" hidden="false" outlineLevel="0" max="14" min="11" style="1" width="12.5"/>
    <col collapsed="false" customWidth="true" hidden="false" outlineLevel="0" max="22" min="15" style="1" width="9"/>
    <col collapsed="false" customWidth="true" hidden="false" outlineLevel="0" max="32" min="23" style="1" width="5.01"/>
    <col collapsed="false" customWidth="true" hidden="false" outlineLevel="0" max="1024" min="1024" style="1" width="11.52"/>
  </cols>
  <sheetData>
    <row r="1" customFormat="false" ht="35.25" hidden="false" customHeight="true" outlineLevel="0" collapsed="false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4" t="s">
        <v>1</v>
      </c>
      <c r="L1" s="5" t="n">
        <v>46322</v>
      </c>
      <c r="M1" s="2"/>
      <c r="N1" s="2"/>
      <c r="O1" s="2"/>
      <c r="P1" s="2"/>
      <c r="Q1" s="2"/>
      <c r="R1" s="2"/>
      <c r="S1" s="2"/>
      <c r="T1" s="6" t="s">
        <v>2</v>
      </c>
      <c r="U1" s="7" t="n">
        <f aca="false">IFERROR(U5/S5,0)</f>
        <v>0.544378698224852</v>
      </c>
      <c r="V1" s="8" t="str">
        <f aca="false">IF(U1&lt;0.75,"(위험)",IF(U1&lt;0.85,"(경고)",IF(U1&lt;0.95,"(주의)","(양호)")))</f>
        <v>(위험)</v>
      </c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6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customFormat="false" ht="21" hidden="false" customHeight="true" outlineLevel="0" collapsed="false">
      <c r="B3" s="10" t="s">
        <v>3</v>
      </c>
      <c r="C3" s="10"/>
      <c r="D3" s="10"/>
      <c r="E3" s="10"/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14</v>
      </c>
      <c r="Q3" s="11" t="s">
        <v>15</v>
      </c>
      <c r="R3" s="11" t="s">
        <v>16</v>
      </c>
      <c r="S3" s="11" t="s">
        <v>17</v>
      </c>
      <c r="T3" s="11" t="s">
        <v>18</v>
      </c>
      <c r="U3" s="11" t="s">
        <v>19</v>
      </c>
      <c r="V3" s="11"/>
      <c r="W3" s="12" t="s">
        <v>20</v>
      </c>
      <c r="X3" s="12"/>
      <c r="Y3" s="12"/>
      <c r="Z3" s="12"/>
      <c r="AA3" s="12"/>
      <c r="AB3" s="12"/>
      <c r="AC3" s="12"/>
      <c r="AD3" s="12"/>
      <c r="AE3" s="12"/>
      <c r="AF3" s="12"/>
    </row>
    <row r="4" customFormat="false" ht="18.75" hidden="false" customHeight="true" outlineLevel="0" collapsed="false">
      <c r="B4" s="10"/>
      <c r="C4" s="10"/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3" t="s">
        <v>21</v>
      </c>
      <c r="V4" s="13" t="s">
        <v>22</v>
      </c>
      <c r="W4" s="14" t="s">
        <v>23</v>
      </c>
      <c r="X4" s="14"/>
      <c r="Y4" s="14"/>
      <c r="Z4" s="14"/>
      <c r="AA4" s="14"/>
      <c r="AB4" s="14" t="s">
        <v>24</v>
      </c>
      <c r="AC4" s="14"/>
      <c r="AD4" s="14"/>
      <c r="AE4" s="14"/>
      <c r="AF4" s="14"/>
    </row>
    <row r="5" customFormat="false" ht="18" hidden="false" customHeight="true" outlineLevel="0" collapsed="false">
      <c r="B5" s="15"/>
      <c r="C5" s="16" t="s">
        <v>25</v>
      </c>
      <c r="D5" s="15" t="s">
        <v>26</v>
      </c>
      <c r="E5" s="15"/>
      <c r="F5" s="11"/>
      <c r="G5" s="11"/>
      <c r="H5" s="11"/>
      <c r="I5" s="11"/>
      <c r="J5" s="11"/>
      <c r="K5" s="17" t="n">
        <f aca="false">MIN(K6:K107)</f>
        <v>46322</v>
      </c>
      <c r="L5" s="17" t="n">
        <f aca="false">MAX(L6:L107)</f>
        <v>46331</v>
      </c>
      <c r="M5" s="17" t="n">
        <f aca="false">MIN(M6:M107)</f>
        <v>46322</v>
      </c>
      <c r="N5" s="17" t="n">
        <f aca="false">MAX(N6:N107)</f>
        <v>46322</v>
      </c>
      <c r="O5" s="18" t="n">
        <f aca="false">O108</f>
        <v>92</v>
      </c>
      <c r="P5" s="18" t="n">
        <f aca="false">P108</f>
        <v>10</v>
      </c>
      <c r="Q5" s="18" t="n">
        <f aca="false">Q108</f>
        <v>13</v>
      </c>
      <c r="R5" s="18" t="n">
        <f aca="false">R108</f>
        <v>10</v>
      </c>
      <c r="S5" s="19" t="n">
        <f aca="false">S108</f>
        <v>0.141304347826087</v>
      </c>
      <c r="T5" s="19" t="n">
        <f aca="false">T108</f>
        <v>0.108695652173913</v>
      </c>
      <c r="U5" s="20" t="n">
        <f aca="false">AVERAGE(U6:U18)*C6+AVERAGE(U20:U40)*C20+AVERAGE(U42:U64)*C42+AVERAGE(U66:U82)*C66+AVERAGE(U84:U95)*C84+AVERAGE(U97:U100)*C97</f>
        <v>0.0769230769230769</v>
      </c>
      <c r="V5" s="20" t="n">
        <f aca="false">U5-S5</f>
        <v>-0.06438127090301</v>
      </c>
      <c r="W5" s="21" t="n">
        <v>46322</v>
      </c>
      <c r="X5" s="21" t="n">
        <v>46323</v>
      </c>
      <c r="Y5" s="21" t="n">
        <v>46324</v>
      </c>
      <c r="Z5" s="21" t="n">
        <v>46325</v>
      </c>
      <c r="AA5" s="22" t="n">
        <v>46326</v>
      </c>
      <c r="AB5" s="22" t="n">
        <v>46327</v>
      </c>
      <c r="AC5" s="21" t="n">
        <v>46328</v>
      </c>
      <c r="AD5" s="21" t="n">
        <v>46329</v>
      </c>
      <c r="AE5" s="21" t="n">
        <v>46330</v>
      </c>
      <c r="AF5" s="21" t="n">
        <v>46331</v>
      </c>
    </row>
    <row r="6" customFormat="false" ht="30" hidden="false" customHeight="true" outlineLevel="0" collapsed="false">
      <c r="B6" s="23" t="n">
        <v>1</v>
      </c>
      <c r="C6" s="24" t="n">
        <v>0.1</v>
      </c>
      <c r="D6" s="25" t="s">
        <v>27</v>
      </c>
      <c r="E6" s="26" t="s">
        <v>28</v>
      </c>
      <c r="F6" s="27" t="s">
        <v>29</v>
      </c>
      <c r="G6" s="28" t="s">
        <v>30</v>
      </c>
      <c r="H6" s="28" t="s">
        <v>31</v>
      </c>
      <c r="I6" s="29" t="s">
        <v>32</v>
      </c>
      <c r="J6" s="30" t="s">
        <v>33</v>
      </c>
      <c r="K6" s="31" t="n">
        <v>46322</v>
      </c>
      <c r="L6" s="31" t="n">
        <v>46322</v>
      </c>
      <c r="M6" s="31" t="n">
        <v>46322</v>
      </c>
      <c r="N6" s="31" t="n">
        <v>46322</v>
      </c>
      <c r="O6" s="32" t="n">
        <f aca="false">IF(OR(K6="",L6=""),0,L6-K6+1-COUNTIFS(휴일!$A$2:$A$20,"&gt;="&amp;K6,휴일!$A$2:$A$20,"&lt;="&amp;L6))</f>
        <v>1</v>
      </c>
      <c r="P6" s="32" t="n">
        <f aca="false">IF(OR(M6="",N6=""),0,N6-M6+1-COUNTIFS(휴일!$A$2:$A$20,"&gt;="&amp;M6,휴일!$A$2:$A$20,"&lt;="&amp;N6))</f>
        <v>1</v>
      </c>
      <c r="Q6" s="33" t="n">
        <f aca="false">IF(O6=0,0,MAX(0,MIN(O6,$L$1-K6+1-COUNTIFS(휴일!$A$2:$A$20,"&gt;="&amp;K6,휴일!$A$2:$A$20,"&lt;="&amp;$L$1))))</f>
        <v>1</v>
      </c>
      <c r="R6" s="33" t="n">
        <f aca="false">IF(P6=0,0,MIN(P6,O6))</f>
        <v>1</v>
      </c>
      <c r="S6" s="34" t="n">
        <f aca="false">IFERROR(Q6/O6,0)</f>
        <v>1</v>
      </c>
      <c r="T6" s="34" t="n">
        <f aca="false">IFERROR(R6/O6,0)</f>
        <v>1</v>
      </c>
      <c r="U6" s="35" t="n">
        <f aca="false">IF(OR(O6=0,R6=0),0,MIN(1,R6/O6))</f>
        <v>1</v>
      </c>
      <c r="V6" s="36" t="n">
        <f aca="false">U6-S6</f>
        <v>0</v>
      </c>
      <c r="W6" s="37" t="str">
        <f aca="false">IF(AND(W$5&gt;=$K6,W$5&lt;=$L6,COUNTIF(휴일!$A$2:$A$20,W$5)=0),IF($G6="선택","□","■"),"")</f>
        <v>■</v>
      </c>
      <c r="X6" s="37" t="str">
        <f aca="false">IF(AND(X$5&gt;=$K6,X$5&lt;=$L6,COUNTIF(휴일!$A$2:$A$20,X$5)=0),IF($G6="선택","□","■"),"")</f>
        <v/>
      </c>
      <c r="Y6" s="37" t="str">
        <f aca="false">IF(AND(Y$5&gt;=$K6,Y$5&lt;=$L6,COUNTIF(휴일!$A$2:$A$20,Y$5)=0),IF($G6="선택","□","■"),"")</f>
        <v/>
      </c>
      <c r="Z6" s="37" t="str">
        <f aca="false">IF(AND(Z$5&gt;=$K6,Z$5&lt;=$L6,COUNTIF(휴일!$A$2:$A$20,Z$5)=0),IF($G6="선택","□","■"),"")</f>
        <v/>
      </c>
      <c r="AA6" s="37" t="str">
        <f aca="false">IF(AND(AA$5&gt;=$K6,AA$5&lt;=$L6,COUNTIF(휴일!$A$2:$A$20,AA$5)=0),IF($G6="선택","□","■"),"")</f>
        <v/>
      </c>
      <c r="AB6" s="37" t="str">
        <f aca="false">IF(AND(AB$5&gt;=$K6,AB$5&lt;=$L6,COUNTIF(휴일!$A$2:$A$20,AB$5)=0),IF($G6="선택","□","■"),"")</f>
        <v/>
      </c>
      <c r="AC6" s="37" t="str">
        <f aca="false">IF(AND(AC$5&gt;=$K6,AC$5&lt;=$L6,COUNTIF(휴일!$A$2:$A$20,AC$5)=0),IF($G6="선택","□","■"),"")</f>
        <v/>
      </c>
      <c r="AD6" s="37" t="str">
        <f aca="false">IF(AND(AD$5&gt;=$K6,AD$5&lt;=$L6,COUNTIF(휴일!$A$2:$A$20,AD$5)=0),IF($G6="선택","□","■"),"")</f>
        <v/>
      </c>
      <c r="AE6" s="37" t="str">
        <f aca="false">IF(AND(AE$5&gt;=$K6,AE$5&lt;=$L6,COUNTIF(휴일!$A$2:$A$20,AE$5)=0),IF($G6="선택","□","■"),"")</f>
        <v/>
      </c>
      <c r="AF6" s="37" t="str">
        <f aca="false">IF(AND(AF$5&gt;=$K6,AF$5&lt;=$L6,COUNTIF(휴일!$A$2:$A$20,AF$5)=0),IF($G6="선택","□","■"),"")</f>
        <v/>
      </c>
    </row>
    <row r="7" customFormat="false" ht="30" hidden="false" customHeight="true" outlineLevel="0" collapsed="false">
      <c r="B7" s="23"/>
      <c r="C7" s="24"/>
      <c r="D7" s="25"/>
      <c r="E7" s="26" t="s">
        <v>28</v>
      </c>
      <c r="F7" s="27" t="s">
        <v>34</v>
      </c>
      <c r="G7" s="28" t="s">
        <v>30</v>
      </c>
      <c r="H7" s="28" t="s">
        <v>31</v>
      </c>
      <c r="I7" s="29" t="s">
        <v>35</v>
      </c>
      <c r="J7" s="30" t="s">
        <v>36</v>
      </c>
      <c r="K7" s="31" t="n">
        <v>46322</v>
      </c>
      <c r="L7" s="31" t="n">
        <v>46322</v>
      </c>
      <c r="M7" s="31" t="n">
        <v>46322</v>
      </c>
      <c r="N7" s="31" t="n">
        <v>46322</v>
      </c>
      <c r="O7" s="32" t="n">
        <f aca="false">IF(OR(K7="",L7=""),0,L7-K7+1-COUNTIFS(휴일!$A$2:$A$20,"&gt;="&amp;K7,휴일!$A$2:$A$20,"&lt;="&amp;L7))</f>
        <v>1</v>
      </c>
      <c r="P7" s="32" t="n">
        <f aca="false">IF(OR(M7="",N7=""),0,N7-M7+1-COUNTIFS(휴일!$A$2:$A$20,"&gt;="&amp;M7,휴일!$A$2:$A$20,"&lt;="&amp;N7))</f>
        <v>1</v>
      </c>
      <c r="Q7" s="33" t="n">
        <f aca="false">IF(O7=0,0,MAX(0,MIN(O7,$L$1-K7+1-COUNTIFS(휴일!$A$2:$A$20,"&gt;="&amp;K7,휴일!$A$2:$A$20,"&lt;="&amp;$L$1))))</f>
        <v>1</v>
      </c>
      <c r="R7" s="33" t="n">
        <f aca="false">IF(P7=0,0,MIN(P7,O7))</f>
        <v>1</v>
      </c>
      <c r="S7" s="34" t="n">
        <f aca="false">IFERROR(Q7/O7,0)</f>
        <v>1</v>
      </c>
      <c r="T7" s="34" t="n">
        <f aca="false">IFERROR(R7/O7,0)</f>
        <v>1</v>
      </c>
      <c r="U7" s="35" t="n">
        <f aca="false">IF(OR(O7=0,R7=0),0,MIN(1,R7/O7))</f>
        <v>1</v>
      </c>
      <c r="V7" s="36" t="n">
        <f aca="false">U7-S7</f>
        <v>0</v>
      </c>
      <c r="W7" s="37" t="str">
        <f aca="false">IF(AND(W$5&gt;=$K7,W$5&lt;=$L7,COUNTIF(휴일!$A$2:$A$20,W$5)=0),IF($G7="선택","□","■"),"")</f>
        <v>■</v>
      </c>
      <c r="X7" s="37" t="str">
        <f aca="false">IF(AND(X$5&gt;=$K7,X$5&lt;=$L7,COUNTIF(휴일!$A$2:$A$20,X$5)=0),IF($G7="선택","□","■"),"")</f>
        <v/>
      </c>
      <c r="Y7" s="37" t="str">
        <f aca="false">IF(AND(Y$5&gt;=$K7,Y$5&lt;=$L7,COUNTIF(휴일!$A$2:$A$20,Y$5)=0),IF($G7="선택","□","■"),"")</f>
        <v/>
      </c>
      <c r="Z7" s="37" t="str">
        <f aca="false">IF(AND(Z$5&gt;=$K7,Z$5&lt;=$L7,COUNTIF(휴일!$A$2:$A$20,Z$5)=0),IF($G7="선택","□","■"),"")</f>
        <v/>
      </c>
      <c r="AA7" s="37" t="str">
        <f aca="false">IF(AND(AA$5&gt;=$K7,AA$5&lt;=$L7,COUNTIF(휴일!$A$2:$A$20,AA$5)=0),IF($G7="선택","□","■"),"")</f>
        <v/>
      </c>
      <c r="AB7" s="37" t="str">
        <f aca="false">IF(AND(AB$5&gt;=$K7,AB$5&lt;=$L7,COUNTIF(휴일!$A$2:$A$20,AB$5)=0),IF($G7="선택","□","■"),"")</f>
        <v/>
      </c>
      <c r="AC7" s="37" t="str">
        <f aca="false">IF(AND(AC$5&gt;=$K7,AC$5&lt;=$L7,COUNTIF(휴일!$A$2:$A$20,AC$5)=0),IF($G7="선택","□","■"),"")</f>
        <v/>
      </c>
      <c r="AD7" s="37" t="str">
        <f aca="false">IF(AND(AD$5&gt;=$K7,AD$5&lt;=$L7,COUNTIF(휴일!$A$2:$A$20,AD$5)=0),IF($G7="선택","□","■"),"")</f>
        <v/>
      </c>
      <c r="AE7" s="37" t="str">
        <f aca="false">IF(AND(AE$5&gt;=$K7,AE$5&lt;=$L7,COUNTIF(휴일!$A$2:$A$20,AE$5)=0),IF($G7="선택","□","■"),"")</f>
        <v/>
      </c>
      <c r="AF7" s="37" t="str">
        <f aca="false">IF(AND(AF$5&gt;=$K7,AF$5&lt;=$L7,COUNTIF(휴일!$A$2:$A$20,AF$5)=0),IF($G7="선택","□","■"),"")</f>
        <v/>
      </c>
    </row>
    <row r="8" customFormat="false" ht="30" hidden="false" customHeight="true" outlineLevel="0" collapsed="false">
      <c r="B8" s="23"/>
      <c r="C8" s="24"/>
      <c r="D8" s="25"/>
      <c r="E8" s="26" t="s">
        <v>37</v>
      </c>
      <c r="F8" s="27" t="s">
        <v>38</v>
      </c>
      <c r="G8" s="28" t="s">
        <v>30</v>
      </c>
      <c r="H8" s="28" t="s">
        <v>31</v>
      </c>
      <c r="I8" s="29" t="s">
        <v>39</v>
      </c>
      <c r="J8" s="30" t="s">
        <v>40</v>
      </c>
      <c r="K8" s="31" t="n">
        <v>46322</v>
      </c>
      <c r="L8" s="31" t="n">
        <v>46322</v>
      </c>
      <c r="M8" s="31" t="n">
        <v>46322</v>
      </c>
      <c r="N8" s="31" t="n">
        <v>46322</v>
      </c>
      <c r="O8" s="32" t="n">
        <f aca="false">IF(OR(K8="",L8=""),0,L8-K8+1-COUNTIFS(휴일!$A$2:$A$20,"&gt;="&amp;K8,휴일!$A$2:$A$20,"&lt;="&amp;L8))</f>
        <v>1</v>
      </c>
      <c r="P8" s="32" t="n">
        <f aca="false">IF(OR(M8="",N8=""),0,N8-M8+1-COUNTIFS(휴일!$A$2:$A$20,"&gt;="&amp;M8,휴일!$A$2:$A$20,"&lt;="&amp;N8))</f>
        <v>1</v>
      </c>
      <c r="Q8" s="33" t="n">
        <f aca="false">IF(O8=0,0,MAX(0,MIN(O8,$L$1-K8+1-COUNTIFS(휴일!$A$2:$A$20,"&gt;="&amp;K8,휴일!$A$2:$A$20,"&lt;="&amp;$L$1))))</f>
        <v>1</v>
      </c>
      <c r="R8" s="33" t="n">
        <f aca="false">IF(P8=0,0,MIN(P8,O8))</f>
        <v>1</v>
      </c>
      <c r="S8" s="34" t="n">
        <f aca="false">IFERROR(Q8/O8,0)</f>
        <v>1</v>
      </c>
      <c r="T8" s="34" t="n">
        <f aca="false">IFERROR(R8/O8,0)</f>
        <v>1</v>
      </c>
      <c r="U8" s="35" t="n">
        <f aca="false">IF(OR(O8=0,R8=0),0,MIN(1,R8/O8))</f>
        <v>1</v>
      </c>
      <c r="V8" s="36" t="n">
        <f aca="false">U8-S8</f>
        <v>0</v>
      </c>
      <c r="W8" s="37" t="str">
        <f aca="false">IF(AND(W$5&gt;=$K8,W$5&lt;=$L8,COUNTIF(휴일!$A$2:$A$20,W$5)=0),IF($G8="선택","□","■"),"")</f>
        <v>■</v>
      </c>
      <c r="X8" s="37" t="str">
        <f aca="false">IF(AND(X$5&gt;=$K8,X$5&lt;=$L8,COUNTIF(휴일!$A$2:$A$20,X$5)=0),IF($G8="선택","□","■"),"")</f>
        <v/>
      </c>
      <c r="Y8" s="37" t="str">
        <f aca="false">IF(AND(Y$5&gt;=$K8,Y$5&lt;=$L8,COUNTIF(휴일!$A$2:$A$20,Y$5)=0),IF($G8="선택","□","■"),"")</f>
        <v/>
      </c>
      <c r="Z8" s="37" t="str">
        <f aca="false">IF(AND(Z$5&gt;=$K8,Z$5&lt;=$L8,COUNTIF(휴일!$A$2:$A$20,Z$5)=0),IF($G8="선택","□","■"),"")</f>
        <v/>
      </c>
      <c r="AA8" s="37" t="str">
        <f aca="false">IF(AND(AA$5&gt;=$K8,AA$5&lt;=$L8,COUNTIF(휴일!$A$2:$A$20,AA$5)=0),IF($G8="선택","□","■"),"")</f>
        <v/>
      </c>
      <c r="AB8" s="37" t="str">
        <f aca="false">IF(AND(AB$5&gt;=$K8,AB$5&lt;=$L8,COUNTIF(휴일!$A$2:$A$20,AB$5)=0),IF($G8="선택","□","■"),"")</f>
        <v/>
      </c>
      <c r="AC8" s="37" t="str">
        <f aca="false">IF(AND(AC$5&gt;=$K8,AC$5&lt;=$L8,COUNTIF(휴일!$A$2:$A$20,AC$5)=0),IF($G8="선택","□","■"),"")</f>
        <v/>
      </c>
      <c r="AD8" s="37" t="str">
        <f aca="false">IF(AND(AD$5&gt;=$K8,AD$5&lt;=$L8,COUNTIF(휴일!$A$2:$A$20,AD$5)=0),IF($G8="선택","□","■"),"")</f>
        <v/>
      </c>
      <c r="AE8" s="37" t="str">
        <f aca="false">IF(AND(AE$5&gt;=$K8,AE$5&lt;=$L8,COUNTIF(휴일!$A$2:$A$20,AE$5)=0),IF($G8="선택","□","■"),"")</f>
        <v/>
      </c>
      <c r="AF8" s="37" t="str">
        <f aca="false">IF(AND(AF$5&gt;=$K8,AF$5&lt;=$L8,COUNTIF(휴일!$A$2:$A$20,AF$5)=0),IF($G8="선택","□","■"),"")</f>
        <v/>
      </c>
    </row>
    <row r="9" customFormat="false" ht="30" hidden="false" customHeight="true" outlineLevel="0" collapsed="false">
      <c r="B9" s="23"/>
      <c r="C9" s="24"/>
      <c r="D9" s="25"/>
      <c r="E9" s="26" t="s">
        <v>41</v>
      </c>
      <c r="F9" s="27" t="s">
        <v>42</v>
      </c>
      <c r="G9" s="28" t="s">
        <v>30</v>
      </c>
      <c r="H9" s="28" t="s">
        <v>31</v>
      </c>
      <c r="I9" s="29" t="s">
        <v>43</v>
      </c>
      <c r="J9" s="30" t="s">
        <v>44</v>
      </c>
      <c r="K9" s="31" t="n">
        <v>46322</v>
      </c>
      <c r="L9" s="31" t="n">
        <v>46322</v>
      </c>
      <c r="M9" s="31" t="n">
        <v>46322</v>
      </c>
      <c r="N9" s="31" t="n">
        <v>46322</v>
      </c>
      <c r="O9" s="32" t="n">
        <f aca="false">IF(OR(K9="",L9=""),0,L9-K9+1-COUNTIFS(휴일!$A$2:$A$20,"&gt;="&amp;K9,휴일!$A$2:$A$20,"&lt;="&amp;L9))</f>
        <v>1</v>
      </c>
      <c r="P9" s="32" t="n">
        <f aca="false">IF(OR(M9="",N9=""),0,N9-M9+1-COUNTIFS(휴일!$A$2:$A$20,"&gt;="&amp;M9,휴일!$A$2:$A$20,"&lt;="&amp;N9))</f>
        <v>1</v>
      </c>
      <c r="Q9" s="33" t="n">
        <f aca="false">IF(O9=0,0,MAX(0,MIN(O9,$L$1-K9+1-COUNTIFS(휴일!$A$2:$A$20,"&gt;="&amp;K9,휴일!$A$2:$A$20,"&lt;="&amp;$L$1))))</f>
        <v>1</v>
      </c>
      <c r="R9" s="33" t="n">
        <f aca="false">IF(P9=0,0,MIN(P9,O9))</f>
        <v>1</v>
      </c>
      <c r="S9" s="34" t="n">
        <f aca="false">IFERROR(Q9/O9,0)</f>
        <v>1</v>
      </c>
      <c r="T9" s="34" t="n">
        <f aca="false">IFERROR(R9/O9,0)</f>
        <v>1</v>
      </c>
      <c r="U9" s="35" t="n">
        <f aca="false">IF(OR(O9=0,R9=0),0,MIN(1,R9/O9))</f>
        <v>1</v>
      </c>
      <c r="V9" s="36" t="n">
        <f aca="false">U9-S9</f>
        <v>0</v>
      </c>
      <c r="W9" s="37" t="str">
        <f aca="false">IF(AND(W$5&gt;=$K9,W$5&lt;=$L9,COUNTIF(휴일!$A$2:$A$20,W$5)=0),IF($G9="선택","□","■"),"")</f>
        <v>■</v>
      </c>
      <c r="X9" s="37" t="str">
        <f aca="false">IF(AND(X$5&gt;=$K9,X$5&lt;=$L9,COUNTIF(휴일!$A$2:$A$20,X$5)=0),IF($G9="선택","□","■"),"")</f>
        <v/>
      </c>
      <c r="Y9" s="37" t="str">
        <f aca="false">IF(AND(Y$5&gt;=$K9,Y$5&lt;=$L9,COUNTIF(휴일!$A$2:$A$20,Y$5)=0),IF($G9="선택","□","■"),"")</f>
        <v/>
      </c>
      <c r="Z9" s="37" t="str">
        <f aca="false">IF(AND(Z$5&gt;=$K9,Z$5&lt;=$L9,COUNTIF(휴일!$A$2:$A$20,Z$5)=0),IF($G9="선택","□","■"),"")</f>
        <v/>
      </c>
      <c r="AA9" s="37" t="str">
        <f aca="false">IF(AND(AA$5&gt;=$K9,AA$5&lt;=$L9,COUNTIF(휴일!$A$2:$A$20,AA$5)=0),IF($G9="선택","□","■"),"")</f>
        <v/>
      </c>
      <c r="AB9" s="37" t="str">
        <f aca="false">IF(AND(AB$5&gt;=$K9,AB$5&lt;=$L9,COUNTIF(휴일!$A$2:$A$20,AB$5)=0),IF($G9="선택","□","■"),"")</f>
        <v/>
      </c>
      <c r="AC9" s="37" t="str">
        <f aca="false">IF(AND(AC$5&gt;=$K9,AC$5&lt;=$L9,COUNTIF(휴일!$A$2:$A$20,AC$5)=0),IF($G9="선택","□","■"),"")</f>
        <v/>
      </c>
      <c r="AD9" s="37" t="str">
        <f aca="false">IF(AND(AD$5&gt;=$K9,AD$5&lt;=$L9,COUNTIF(휴일!$A$2:$A$20,AD$5)=0),IF($G9="선택","□","■"),"")</f>
        <v/>
      </c>
      <c r="AE9" s="37" t="str">
        <f aca="false">IF(AND(AE$5&gt;=$K9,AE$5&lt;=$L9,COUNTIF(휴일!$A$2:$A$20,AE$5)=0),IF($G9="선택","□","■"),"")</f>
        <v/>
      </c>
      <c r="AF9" s="37" t="str">
        <f aca="false">IF(AND(AF$5&gt;=$K9,AF$5&lt;=$L9,COUNTIF(휴일!$A$2:$A$20,AF$5)=0),IF($G9="선택","□","■"),"")</f>
        <v/>
      </c>
    </row>
    <row r="10" customFormat="false" ht="30" hidden="false" customHeight="true" outlineLevel="0" collapsed="false">
      <c r="B10" s="23"/>
      <c r="C10" s="24"/>
      <c r="D10" s="25"/>
      <c r="E10" s="26" t="s">
        <v>45</v>
      </c>
      <c r="F10" s="27" t="s">
        <v>46</v>
      </c>
      <c r="G10" s="28" t="s">
        <v>30</v>
      </c>
      <c r="H10" s="28" t="s">
        <v>31</v>
      </c>
      <c r="I10" s="29" t="s">
        <v>47</v>
      </c>
      <c r="J10" s="30" t="s">
        <v>48</v>
      </c>
      <c r="K10" s="31" t="n">
        <v>46322</v>
      </c>
      <c r="L10" s="31" t="n">
        <v>46322</v>
      </c>
      <c r="M10" s="31" t="n">
        <v>46322</v>
      </c>
      <c r="N10" s="31" t="n">
        <v>46322</v>
      </c>
      <c r="O10" s="32" t="n">
        <f aca="false">IF(OR(K10="",L10=""),0,L10-K10+1-COUNTIFS(휴일!$A$2:$A$20,"&gt;="&amp;K10,휴일!$A$2:$A$20,"&lt;="&amp;L10))</f>
        <v>1</v>
      </c>
      <c r="P10" s="32" t="n">
        <f aca="false">IF(OR(M10="",N10=""),0,N10-M10+1-COUNTIFS(휴일!$A$2:$A$20,"&gt;="&amp;M10,휴일!$A$2:$A$20,"&lt;="&amp;N10))</f>
        <v>1</v>
      </c>
      <c r="Q10" s="33" t="n">
        <f aca="false">IF(O10=0,0,MAX(0,MIN(O10,$L$1-K10+1-COUNTIFS(휴일!$A$2:$A$20,"&gt;="&amp;K10,휴일!$A$2:$A$20,"&lt;="&amp;$L$1))))</f>
        <v>1</v>
      </c>
      <c r="R10" s="33" t="n">
        <f aca="false">IF(P10=0,0,MIN(P10,O10))</f>
        <v>1</v>
      </c>
      <c r="S10" s="34" t="n">
        <f aca="false">IFERROR(Q10/O10,0)</f>
        <v>1</v>
      </c>
      <c r="T10" s="34" t="n">
        <f aca="false">IFERROR(R10/O10,0)</f>
        <v>1</v>
      </c>
      <c r="U10" s="35" t="n">
        <f aca="false">IF(OR(O10=0,R10=0),0,MIN(1,R10/O10))</f>
        <v>1</v>
      </c>
      <c r="V10" s="36" t="n">
        <f aca="false">U10-S10</f>
        <v>0</v>
      </c>
      <c r="W10" s="37" t="str">
        <f aca="false">IF(AND(W$5&gt;=$K10,W$5&lt;=$L10,COUNTIF(휴일!$A$2:$A$20,W$5)=0),IF($G10="선택","□","■"),"")</f>
        <v>■</v>
      </c>
      <c r="X10" s="37" t="str">
        <f aca="false">IF(AND(X$5&gt;=$K10,X$5&lt;=$L10,COUNTIF(휴일!$A$2:$A$20,X$5)=0),IF($G10="선택","□","■"),"")</f>
        <v/>
      </c>
      <c r="Y10" s="37" t="str">
        <f aca="false">IF(AND(Y$5&gt;=$K10,Y$5&lt;=$L10,COUNTIF(휴일!$A$2:$A$20,Y$5)=0),IF($G10="선택","□","■"),"")</f>
        <v/>
      </c>
      <c r="Z10" s="37" t="str">
        <f aca="false">IF(AND(Z$5&gt;=$K10,Z$5&lt;=$L10,COUNTIF(휴일!$A$2:$A$20,Z$5)=0),IF($G10="선택","□","■"),"")</f>
        <v/>
      </c>
      <c r="AA10" s="37" t="str">
        <f aca="false">IF(AND(AA$5&gt;=$K10,AA$5&lt;=$L10,COUNTIF(휴일!$A$2:$A$20,AA$5)=0),IF($G10="선택","□","■"),"")</f>
        <v/>
      </c>
      <c r="AB10" s="37" t="str">
        <f aca="false">IF(AND(AB$5&gt;=$K10,AB$5&lt;=$L10,COUNTIF(휴일!$A$2:$A$20,AB$5)=0),IF($G10="선택","□","■"),"")</f>
        <v/>
      </c>
      <c r="AC10" s="37" t="str">
        <f aca="false">IF(AND(AC$5&gt;=$K10,AC$5&lt;=$L10,COUNTIF(휴일!$A$2:$A$20,AC$5)=0),IF($G10="선택","□","■"),"")</f>
        <v/>
      </c>
      <c r="AD10" s="37" t="str">
        <f aca="false">IF(AND(AD$5&gt;=$K10,AD$5&lt;=$L10,COUNTIF(휴일!$A$2:$A$20,AD$5)=0),IF($G10="선택","□","■"),"")</f>
        <v/>
      </c>
      <c r="AE10" s="37" t="str">
        <f aca="false">IF(AND(AE$5&gt;=$K10,AE$5&lt;=$L10,COUNTIF(휴일!$A$2:$A$20,AE$5)=0),IF($G10="선택","□","■"),"")</f>
        <v/>
      </c>
      <c r="AF10" s="37" t="str">
        <f aca="false">IF(AND(AF$5&gt;=$K10,AF$5&lt;=$L10,COUNTIF(휴일!$A$2:$A$20,AF$5)=0),IF($G10="선택","□","■"),"")</f>
        <v/>
      </c>
    </row>
    <row r="11" customFormat="false" ht="30" hidden="false" customHeight="true" outlineLevel="0" collapsed="false">
      <c r="B11" s="23"/>
      <c r="C11" s="24"/>
      <c r="D11" s="25"/>
      <c r="E11" s="26" t="s">
        <v>49</v>
      </c>
      <c r="F11" s="27" t="s">
        <v>50</v>
      </c>
      <c r="G11" s="28" t="s">
        <v>30</v>
      </c>
      <c r="H11" s="28" t="s">
        <v>31</v>
      </c>
      <c r="I11" s="29" t="s">
        <v>51</v>
      </c>
      <c r="J11" s="30" t="s">
        <v>52</v>
      </c>
      <c r="K11" s="31" t="n">
        <v>46322</v>
      </c>
      <c r="L11" s="31" t="n">
        <v>46322</v>
      </c>
      <c r="M11" s="31" t="n">
        <v>46322</v>
      </c>
      <c r="N11" s="31" t="n">
        <v>46322</v>
      </c>
      <c r="O11" s="32" t="n">
        <f aca="false">IF(OR(K11="",L11=""),0,L11-K11+1-COUNTIFS(휴일!$A$2:$A$20,"&gt;="&amp;K11,휴일!$A$2:$A$20,"&lt;="&amp;L11))</f>
        <v>1</v>
      </c>
      <c r="P11" s="32" t="n">
        <f aca="false">IF(OR(M11="",N11=""),0,N11-M11+1-COUNTIFS(휴일!$A$2:$A$20,"&gt;="&amp;M11,휴일!$A$2:$A$20,"&lt;="&amp;N11))</f>
        <v>1</v>
      </c>
      <c r="Q11" s="33" t="n">
        <f aca="false">IF(O11=0,0,MAX(0,MIN(O11,$L$1-K11+1-COUNTIFS(휴일!$A$2:$A$20,"&gt;="&amp;K11,휴일!$A$2:$A$20,"&lt;="&amp;$L$1))))</f>
        <v>1</v>
      </c>
      <c r="R11" s="33" t="n">
        <f aca="false">IF(P11=0,0,MIN(P11,O11))</f>
        <v>1</v>
      </c>
      <c r="S11" s="34" t="n">
        <f aca="false">IFERROR(Q11/O11,0)</f>
        <v>1</v>
      </c>
      <c r="T11" s="34" t="n">
        <f aca="false">IFERROR(R11/O11,0)</f>
        <v>1</v>
      </c>
      <c r="U11" s="35" t="n">
        <f aca="false">IF(OR(O11=0,R11=0),0,MIN(1,R11/O11))</f>
        <v>1</v>
      </c>
      <c r="V11" s="36" t="n">
        <f aca="false">U11-S11</f>
        <v>0</v>
      </c>
      <c r="W11" s="37" t="str">
        <f aca="false">IF(AND(W$5&gt;=$K11,W$5&lt;=$L11,COUNTIF(휴일!$A$2:$A$20,W$5)=0),IF($G11="선택","□","■"),"")</f>
        <v>■</v>
      </c>
      <c r="X11" s="37" t="str">
        <f aca="false">IF(AND(X$5&gt;=$K11,X$5&lt;=$L11,COUNTIF(휴일!$A$2:$A$20,X$5)=0),IF($G11="선택","□","■"),"")</f>
        <v/>
      </c>
      <c r="Y11" s="37" t="str">
        <f aca="false">IF(AND(Y$5&gt;=$K11,Y$5&lt;=$L11,COUNTIF(휴일!$A$2:$A$20,Y$5)=0),IF($G11="선택","□","■"),"")</f>
        <v/>
      </c>
      <c r="Z11" s="37" t="str">
        <f aca="false">IF(AND(Z$5&gt;=$K11,Z$5&lt;=$L11,COUNTIF(휴일!$A$2:$A$20,Z$5)=0),IF($G11="선택","□","■"),"")</f>
        <v/>
      </c>
      <c r="AA11" s="37" t="str">
        <f aca="false">IF(AND(AA$5&gt;=$K11,AA$5&lt;=$L11,COUNTIF(휴일!$A$2:$A$20,AA$5)=0),IF($G11="선택","□","■"),"")</f>
        <v/>
      </c>
      <c r="AB11" s="37" t="str">
        <f aca="false">IF(AND(AB$5&gt;=$K11,AB$5&lt;=$L11,COUNTIF(휴일!$A$2:$A$20,AB$5)=0),IF($G11="선택","□","■"),"")</f>
        <v/>
      </c>
      <c r="AC11" s="37" t="str">
        <f aca="false">IF(AND(AC$5&gt;=$K11,AC$5&lt;=$L11,COUNTIF(휴일!$A$2:$A$20,AC$5)=0),IF($G11="선택","□","■"),"")</f>
        <v/>
      </c>
      <c r="AD11" s="37" t="str">
        <f aca="false">IF(AND(AD$5&gt;=$K11,AD$5&lt;=$L11,COUNTIF(휴일!$A$2:$A$20,AD$5)=0),IF($G11="선택","□","■"),"")</f>
        <v/>
      </c>
      <c r="AE11" s="37" t="str">
        <f aca="false">IF(AND(AE$5&gt;=$K11,AE$5&lt;=$L11,COUNTIF(휴일!$A$2:$A$20,AE$5)=0),IF($G11="선택","□","■"),"")</f>
        <v/>
      </c>
      <c r="AF11" s="37" t="str">
        <f aca="false">IF(AND(AF$5&gt;=$K11,AF$5&lt;=$L11,COUNTIF(휴일!$A$2:$A$20,AF$5)=0),IF($G11="선택","□","■"),"")</f>
        <v/>
      </c>
    </row>
    <row r="12" customFormat="false" ht="30" hidden="false" customHeight="true" outlineLevel="0" collapsed="false">
      <c r="B12" s="23"/>
      <c r="C12" s="24"/>
      <c r="D12" s="25"/>
      <c r="E12" s="26" t="s">
        <v>53</v>
      </c>
      <c r="F12" s="27" t="s">
        <v>54</v>
      </c>
      <c r="G12" s="28" t="s">
        <v>30</v>
      </c>
      <c r="H12" s="28" t="s">
        <v>31</v>
      </c>
      <c r="I12" s="29" t="s">
        <v>55</v>
      </c>
      <c r="J12" s="30" t="s">
        <v>56</v>
      </c>
      <c r="K12" s="31" t="n">
        <v>46322</v>
      </c>
      <c r="L12" s="31" t="n">
        <v>46322</v>
      </c>
      <c r="M12" s="31" t="n">
        <v>46322</v>
      </c>
      <c r="N12" s="31"/>
      <c r="O12" s="32" t="n">
        <f aca="false">IF(OR(K12="",L12=""),0,L12-K12+1-COUNTIFS(휴일!$A$2:$A$20,"&gt;="&amp;K12,휴일!$A$2:$A$20,"&lt;="&amp;L12))</f>
        <v>1</v>
      </c>
      <c r="P12" s="32" t="n">
        <f aca="false">IF(OR(M12="",N12=""),0,N12-M12+1-COUNTIFS(휴일!$A$2:$A$20,"&gt;="&amp;M12,휴일!$A$2:$A$20,"&lt;="&amp;N12))</f>
        <v>0</v>
      </c>
      <c r="Q12" s="33" t="n">
        <f aca="false">IF(O12=0,0,MAX(0,MIN(O12,$L$1-K12+1-COUNTIFS(휴일!$A$2:$A$20,"&gt;="&amp;K12,휴일!$A$2:$A$20,"&lt;="&amp;$L$1))))</f>
        <v>1</v>
      </c>
      <c r="R12" s="33" t="n">
        <f aca="false">IF(P12=0,0,MIN(P12,O12))</f>
        <v>0</v>
      </c>
      <c r="S12" s="34" t="n">
        <f aca="false">IFERROR(Q12/O12,0)</f>
        <v>1</v>
      </c>
      <c r="T12" s="34" t="n">
        <f aca="false">IFERROR(R12/O12,0)</f>
        <v>0</v>
      </c>
      <c r="U12" s="35" t="n">
        <f aca="false">IF(OR(O12=0,R12=0),0,MIN(1,R12/O12))</f>
        <v>0</v>
      </c>
      <c r="V12" s="36" t="n">
        <f aca="false">U12-S12</f>
        <v>-1</v>
      </c>
      <c r="W12" s="37" t="str">
        <f aca="false">IF(AND(W$5&gt;=$K12,W$5&lt;=$L12,COUNTIF(휴일!$A$2:$A$20,W$5)=0),IF($G12="선택","□","■"),"")</f>
        <v>■</v>
      </c>
      <c r="X12" s="37" t="str">
        <f aca="false">IF(AND(X$5&gt;=$K12,X$5&lt;=$L12,COUNTIF(휴일!$A$2:$A$20,X$5)=0),IF($G12="선택","□","■"),"")</f>
        <v/>
      </c>
      <c r="Y12" s="37" t="str">
        <f aca="false">IF(AND(Y$5&gt;=$K12,Y$5&lt;=$L12,COUNTIF(휴일!$A$2:$A$20,Y$5)=0),IF($G12="선택","□","■"),"")</f>
        <v/>
      </c>
      <c r="Z12" s="37" t="str">
        <f aca="false">IF(AND(Z$5&gt;=$K12,Z$5&lt;=$L12,COUNTIF(휴일!$A$2:$A$20,Z$5)=0),IF($G12="선택","□","■"),"")</f>
        <v/>
      </c>
      <c r="AA12" s="37" t="str">
        <f aca="false">IF(AND(AA$5&gt;=$K12,AA$5&lt;=$L12,COUNTIF(휴일!$A$2:$A$20,AA$5)=0),IF($G12="선택","□","■"),"")</f>
        <v/>
      </c>
      <c r="AB12" s="37" t="str">
        <f aca="false">IF(AND(AB$5&gt;=$K12,AB$5&lt;=$L12,COUNTIF(휴일!$A$2:$A$20,AB$5)=0),IF($G12="선택","□","■"),"")</f>
        <v/>
      </c>
      <c r="AC12" s="37" t="str">
        <f aca="false">IF(AND(AC$5&gt;=$K12,AC$5&lt;=$L12,COUNTIF(휴일!$A$2:$A$20,AC$5)=0),IF($G12="선택","□","■"),"")</f>
        <v/>
      </c>
      <c r="AD12" s="37" t="str">
        <f aca="false">IF(AND(AD$5&gt;=$K12,AD$5&lt;=$L12,COUNTIF(휴일!$A$2:$A$20,AD$5)=0),IF($G12="선택","□","■"),"")</f>
        <v/>
      </c>
      <c r="AE12" s="37" t="str">
        <f aca="false">IF(AND(AE$5&gt;=$K12,AE$5&lt;=$L12,COUNTIF(휴일!$A$2:$A$20,AE$5)=0),IF($G12="선택","□","■"),"")</f>
        <v/>
      </c>
      <c r="AF12" s="37" t="str">
        <f aca="false">IF(AND(AF$5&gt;=$K12,AF$5&lt;=$L12,COUNTIF(휴일!$A$2:$A$20,AF$5)=0),IF($G12="선택","□","■"),"")</f>
        <v/>
      </c>
    </row>
    <row r="13" customFormat="false" ht="30" hidden="false" customHeight="true" outlineLevel="0" collapsed="false">
      <c r="B13" s="23"/>
      <c r="C13" s="24"/>
      <c r="D13" s="25"/>
      <c r="E13" s="26" t="s">
        <v>53</v>
      </c>
      <c r="F13" s="27" t="s">
        <v>57</v>
      </c>
      <c r="G13" s="28" t="s">
        <v>30</v>
      </c>
      <c r="H13" s="28" t="s">
        <v>31</v>
      </c>
      <c r="I13" s="29" t="s">
        <v>58</v>
      </c>
      <c r="J13" s="30" t="s">
        <v>59</v>
      </c>
      <c r="K13" s="31" t="n">
        <v>46322</v>
      </c>
      <c r="L13" s="31" t="n">
        <v>46322</v>
      </c>
      <c r="M13" s="31" t="n">
        <v>46322</v>
      </c>
      <c r="N13" s="31" t="n">
        <v>46322</v>
      </c>
      <c r="O13" s="32" t="n">
        <f aca="false">IF(OR(K13="",L13=""),0,L13-K13+1-COUNTIFS(휴일!$A$2:$A$20,"&gt;="&amp;K13,휴일!$A$2:$A$20,"&lt;="&amp;L13))</f>
        <v>1</v>
      </c>
      <c r="P13" s="32" t="n">
        <f aca="false">IF(OR(M13="",N13=""),0,N13-M13+1-COUNTIFS(휴일!$A$2:$A$20,"&gt;="&amp;M13,휴일!$A$2:$A$20,"&lt;="&amp;N13))</f>
        <v>1</v>
      </c>
      <c r="Q13" s="33" t="n">
        <f aca="false">IF(O13=0,0,MAX(0,MIN(O13,$L$1-K13+1-COUNTIFS(휴일!$A$2:$A$20,"&gt;="&amp;K13,휴일!$A$2:$A$20,"&lt;="&amp;$L$1))))</f>
        <v>1</v>
      </c>
      <c r="R13" s="33" t="n">
        <f aca="false">IF(P13=0,0,MIN(P13,O13))</f>
        <v>1</v>
      </c>
      <c r="S13" s="34" t="n">
        <f aca="false">IFERROR(Q13/O13,0)</f>
        <v>1</v>
      </c>
      <c r="T13" s="34" t="n">
        <f aca="false">IFERROR(R13/O13,0)</f>
        <v>1</v>
      </c>
      <c r="U13" s="35" t="n">
        <f aca="false">IF(OR(O13=0,R13=0),0,MIN(1,R13/O13))</f>
        <v>1</v>
      </c>
      <c r="V13" s="36" t="n">
        <f aca="false">U13-S13</f>
        <v>0</v>
      </c>
      <c r="W13" s="37" t="str">
        <f aca="false">IF(AND(W$5&gt;=$K13,W$5&lt;=$L13,COUNTIF(휴일!$A$2:$A$20,W$5)=0),IF($G13="선택","□","■"),"")</f>
        <v>■</v>
      </c>
      <c r="X13" s="37" t="str">
        <f aca="false">IF(AND(X$5&gt;=$K13,X$5&lt;=$L13,COUNTIF(휴일!$A$2:$A$20,X$5)=0),IF($G13="선택","□","■"),"")</f>
        <v/>
      </c>
      <c r="Y13" s="37" t="str">
        <f aca="false">IF(AND(Y$5&gt;=$K13,Y$5&lt;=$L13,COUNTIF(휴일!$A$2:$A$20,Y$5)=0),IF($G13="선택","□","■"),"")</f>
        <v/>
      </c>
      <c r="Z13" s="37" t="str">
        <f aca="false">IF(AND(Z$5&gt;=$K13,Z$5&lt;=$L13,COUNTIF(휴일!$A$2:$A$20,Z$5)=0),IF($G13="선택","□","■"),"")</f>
        <v/>
      </c>
      <c r="AA13" s="37" t="str">
        <f aca="false">IF(AND(AA$5&gt;=$K13,AA$5&lt;=$L13,COUNTIF(휴일!$A$2:$A$20,AA$5)=0),IF($G13="선택","□","■"),"")</f>
        <v/>
      </c>
      <c r="AB13" s="37" t="str">
        <f aca="false">IF(AND(AB$5&gt;=$K13,AB$5&lt;=$L13,COUNTIF(휴일!$A$2:$A$20,AB$5)=0),IF($G13="선택","□","■"),"")</f>
        <v/>
      </c>
      <c r="AC13" s="37" t="str">
        <f aca="false">IF(AND(AC$5&gt;=$K13,AC$5&lt;=$L13,COUNTIF(휴일!$A$2:$A$20,AC$5)=0),IF($G13="선택","□","■"),"")</f>
        <v/>
      </c>
      <c r="AD13" s="37" t="str">
        <f aca="false">IF(AND(AD$5&gt;=$K13,AD$5&lt;=$L13,COUNTIF(휴일!$A$2:$A$20,AD$5)=0),IF($G13="선택","□","■"),"")</f>
        <v/>
      </c>
      <c r="AE13" s="37" t="str">
        <f aca="false">IF(AND(AE$5&gt;=$K13,AE$5&lt;=$L13,COUNTIF(휴일!$A$2:$A$20,AE$5)=0),IF($G13="선택","□","■"),"")</f>
        <v/>
      </c>
      <c r="AF13" s="37" t="str">
        <f aca="false">IF(AND(AF$5&gt;=$K13,AF$5&lt;=$L13,COUNTIF(휴일!$A$2:$A$20,AF$5)=0),IF($G13="선택","□","■"),"")</f>
        <v/>
      </c>
    </row>
    <row r="14" customFormat="false" ht="30" hidden="false" customHeight="true" outlineLevel="0" collapsed="false">
      <c r="B14" s="23"/>
      <c r="C14" s="24"/>
      <c r="D14" s="25"/>
      <c r="E14" s="26" t="s">
        <v>60</v>
      </c>
      <c r="F14" s="27" t="s">
        <v>61</v>
      </c>
      <c r="G14" s="28" t="s">
        <v>30</v>
      </c>
      <c r="H14" s="28" t="s">
        <v>31</v>
      </c>
      <c r="I14" s="29" t="s">
        <v>62</v>
      </c>
      <c r="J14" s="30" t="s">
        <v>63</v>
      </c>
      <c r="K14" s="31" t="n">
        <v>46322</v>
      </c>
      <c r="L14" s="31" t="n">
        <v>46322</v>
      </c>
      <c r="M14" s="31" t="n">
        <v>46322</v>
      </c>
      <c r="N14" s="31" t="n">
        <v>46322</v>
      </c>
      <c r="O14" s="32" t="n">
        <f aca="false">IF(OR(K14="",L14=""),0,L14-K14+1-COUNTIFS(휴일!$A$2:$A$20,"&gt;="&amp;K14,휴일!$A$2:$A$20,"&lt;="&amp;L14))</f>
        <v>1</v>
      </c>
      <c r="P14" s="32" t="n">
        <f aca="false">IF(OR(M14="",N14=""),0,N14-M14+1-COUNTIFS(휴일!$A$2:$A$20,"&gt;="&amp;M14,휴일!$A$2:$A$20,"&lt;="&amp;N14))</f>
        <v>1</v>
      </c>
      <c r="Q14" s="33" t="n">
        <f aca="false">IF(O14=0,0,MAX(0,MIN(O14,$L$1-K14+1-COUNTIFS(휴일!$A$2:$A$20,"&gt;="&amp;K14,휴일!$A$2:$A$20,"&lt;="&amp;$L$1))))</f>
        <v>1</v>
      </c>
      <c r="R14" s="33" t="n">
        <f aca="false">IF(P14=0,0,MIN(P14,O14))</f>
        <v>1</v>
      </c>
      <c r="S14" s="34" t="n">
        <f aca="false">IFERROR(Q14/O14,0)</f>
        <v>1</v>
      </c>
      <c r="T14" s="34" t="n">
        <f aca="false">IFERROR(R14/O14,0)</f>
        <v>1</v>
      </c>
      <c r="U14" s="35" t="n">
        <f aca="false">IF(OR(O14=0,R14=0),0,MIN(1,R14/O14))</f>
        <v>1</v>
      </c>
      <c r="V14" s="36" t="n">
        <f aca="false">U14-S14</f>
        <v>0</v>
      </c>
      <c r="W14" s="37" t="str">
        <f aca="false">IF(AND(W$5&gt;=$K14,W$5&lt;=$L14,COUNTIF(휴일!$A$2:$A$20,W$5)=0),IF($G14="선택","□","■"),"")</f>
        <v>■</v>
      </c>
      <c r="X14" s="37" t="str">
        <f aca="false">IF(AND(X$5&gt;=$K14,X$5&lt;=$L14,COUNTIF(휴일!$A$2:$A$20,X$5)=0),IF($G14="선택","□","■"),"")</f>
        <v/>
      </c>
      <c r="Y14" s="37" t="str">
        <f aca="false">IF(AND(Y$5&gt;=$K14,Y$5&lt;=$L14,COUNTIF(휴일!$A$2:$A$20,Y$5)=0),IF($G14="선택","□","■"),"")</f>
        <v/>
      </c>
      <c r="Z14" s="37" t="str">
        <f aca="false">IF(AND(Z$5&gt;=$K14,Z$5&lt;=$L14,COUNTIF(휴일!$A$2:$A$20,Z$5)=0),IF($G14="선택","□","■"),"")</f>
        <v/>
      </c>
      <c r="AA14" s="37" t="str">
        <f aca="false">IF(AND(AA$5&gt;=$K14,AA$5&lt;=$L14,COUNTIF(휴일!$A$2:$A$20,AA$5)=0),IF($G14="선택","□","■"),"")</f>
        <v/>
      </c>
      <c r="AB14" s="37" t="str">
        <f aca="false">IF(AND(AB$5&gt;=$K14,AB$5&lt;=$L14,COUNTIF(휴일!$A$2:$A$20,AB$5)=0),IF($G14="선택","□","■"),"")</f>
        <v/>
      </c>
      <c r="AC14" s="37" t="str">
        <f aca="false">IF(AND(AC$5&gt;=$K14,AC$5&lt;=$L14,COUNTIF(휴일!$A$2:$A$20,AC$5)=0),IF($G14="선택","□","■"),"")</f>
        <v/>
      </c>
      <c r="AD14" s="37" t="str">
        <f aca="false">IF(AND(AD$5&gt;=$K14,AD$5&lt;=$L14,COUNTIF(휴일!$A$2:$A$20,AD$5)=0),IF($G14="선택","□","■"),"")</f>
        <v/>
      </c>
      <c r="AE14" s="37" t="str">
        <f aca="false">IF(AND(AE$5&gt;=$K14,AE$5&lt;=$L14,COUNTIF(휴일!$A$2:$A$20,AE$5)=0),IF($G14="선택","□","■"),"")</f>
        <v/>
      </c>
      <c r="AF14" s="37" t="str">
        <f aca="false">IF(AND(AF$5&gt;=$K14,AF$5&lt;=$L14,COUNTIF(휴일!$A$2:$A$20,AF$5)=0),IF($G14="선택","□","■"),"")</f>
        <v/>
      </c>
    </row>
    <row r="15" customFormat="false" ht="30" hidden="false" customHeight="true" outlineLevel="0" collapsed="false">
      <c r="B15" s="23"/>
      <c r="C15" s="24"/>
      <c r="D15" s="25"/>
      <c r="E15" s="26" t="s">
        <v>64</v>
      </c>
      <c r="F15" s="27" t="s">
        <v>65</v>
      </c>
      <c r="G15" s="28" t="s">
        <v>30</v>
      </c>
      <c r="H15" s="28" t="s">
        <v>31</v>
      </c>
      <c r="I15" s="29" t="s">
        <v>66</v>
      </c>
      <c r="J15" s="30" t="s">
        <v>67</v>
      </c>
      <c r="K15" s="31" t="n">
        <v>46322</v>
      </c>
      <c r="L15" s="31" t="n">
        <v>46322</v>
      </c>
      <c r="M15" s="31" t="n">
        <v>46322</v>
      </c>
      <c r="N15" s="31"/>
      <c r="O15" s="32" t="n">
        <f aca="false">IF(OR(K15="",L15=""),0,L15-K15+1-COUNTIFS(휴일!$A$2:$A$20,"&gt;="&amp;K15,휴일!$A$2:$A$20,"&lt;="&amp;L15))</f>
        <v>1</v>
      </c>
      <c r="P15" s="32" t="n">
        <f aca="false">IF(OR(M15="",N15=""),0,N15-M15+1-COUNTIFS(휴일!$A$2:$A$20,"&gt;="&amp;M15,휴일!$A$2:$A$20,"&lt;="&amp;N15))</f>
        <v>0</v>
      </c>
      <c r="Q15" s="33" t="n">
        <f aca="false">IF(O15=0,0,MAX(0,MIN(O15,$L$1-K15+1-COUNTIFS(휴일!$A$2:$A$20,"&gt;="&amp;K15,휴일!$A$2:$A$20,"&lt;="&amp;$L$1))))</f>
        <v>1</v>
      </c>
      <c r="R15" s="33" t="n">
        <f aca="false">IF(P15=0,0,MIN(P15,O15))</f>
        <v>0</v>
      </c>
      <c r="S15" s="34" t="n">
        <f aca="false">IFERROR(Q15/O15,0)</f>
        <v>1</v>
      </c>
      <c r="T15" s="34" t="n">
        <f aca="false">IFERROR(R15/O15,0)</f>
        <v>0</v>
      </c>
      <c r="U15" s="35" t="n">
        <f aca="false">IF(OR(O15=0,R15=0),0,MIN(1,R15/O15))</f>
        <v>0</v>
      </c>
      <c r="V15" s="36" t="n">
        <f aca="false">U15-S15</f>
        <v>-1</v>
      </c>
      <c r="W15" s="37" t="str">
        <f aca="false">IF(AND(W$5&gt;=$K15,W$5&lt;=$L15,COUNTIF(휴일!$A$2:$A$20,W$5)=0),IF($G15="선택","□","■"),"")</f>
        <v>■</v>
      </c>
      <c r="X15" s="37" t="str">
        <f aca="false">IF(AND(X$5&gt;=$K15,X$5&lt;=$L15,COUNTIF(휴일!$A$2:$A$20,X$5)=0),IF($G15="선택","□","■"),"")</f>
        <v/>
      </c>
      <c r="Y15" s="37" t="str">
        <f aca="false">IF(AND(Y$5&gt;=$K15,Y$5&lt;=$L15,COUNTIF(휴일!$A$2:$A$20,Y$5)=0),IF($G15="선택","□","■"),"")</f>
        <v/>
      </c>
      <c r="Z15" s="37" t="str">
        <f aca="false">IF(AND(Z$5&gt;=$K15,Z$5&lt;=$L15,COUNTIF(휴일!$A$2:$A$20,Z$5)=0),IF($G15="선택","□","■"),"")</f>
        <v/>
      </c>
      <c r="AA15" s="37" t="str">
        <f aca="false">IF(AND(AA$5&gt;=$K15,AA$5&lt;=$L15,COUNTIF(휴일!$A$2:$A$20,AA$5)=0),IF($G15="선택","□","■"),"")</f>
        <v/>
      </c>
      <c r="AB15" s="37" t="str">
        <f aca="false">IF(AND(AB$5&gt;=$K15,AB$5&lt;=$L15,COUNTIF(휴일!$A$2:$A$20,AB$5)=0),IF($G15="선택","□","■"),"")</f>
        <v/>
      </c>
      <c r="AC15" s="37" t="str">
        <f aca="false">IF(AND(AC$5&gt;=$K15,AC$5&lt;=$L15,COUNTIF(휴일!$A$2:$A$20,AC$5)=0),IF($G15="선택","□","■"),"")</f>
        <v/>
      </c>
      <c r="AD15" s="37" t="str">
        <f aca="false">IF(AND(AD$5&gt;=$K15,AD$5&lt;=$L15,COUNTIF(휴일!$A$2:$A$20,AD$5)=0),IF($G15="선택","□","■"),"")</f>
        <v/>
      </c>
      <c r="AE15" s="37" t="str">
        <f aca="false">IF(AND(AE$5&gt;=$K15,AE$5&lt;=$L15,COUNTIF(휴일!$A$2:$A$20,AE$5)=0),IF($G15="선택","□","■"),"")</f>
        <v/>
      </c>
      <c r="AF15" s="37" t="str">
        <f aca="false">IF(AND(AF$5&gt;=$K15,AF$5&lt;=$L15,COUNTIF(휴일!$A$2:$A$20,AF$5)=0),IF($G15="선택","□","■"),"")</f>
        <v/>
      </c>
    </row>
    <row r="16" customFormat="false" ht="30" hidden="false" customHeight="true" outlineLevel="0" collapsed="false">
      <c r="B16" s="23"/>
      <c r="C16" s="24"/>
      <c r="D16" s="25"/>
      <c r="E16" s="26" t="s">
        <v>68</v>
      </c>
      <c r="F16" s="27" t="s">
        <v>69</v>
      </c>
      <c r="G16" s="28" t="s">
        <v>30</v>
      </c>
      <c r="H16" s="28" t="s">
        <v>31</v>
      </c>
      <c r="I16" s="29" t="s">
        <v>70</v>
      </c>
      <c r="J16" s="30" t="s">
        <v>71</v>
      </c>
      <c r="K16" s="31" t="n">
        <v>46322</v>
      </c>
      <c r="L16" s="31" t="n">
        <v>46322</v>
      </c>
      <c r="M16" s="31" t="n">
        <v>46322</v>
      </c>
      <c r="N16" s="31"/>
      <c r="O16" s="32" t="n">
        <f aca="false">IF(OR(K16="",L16=""),0,L16-K16+1-COUNTIFS(휴일!$A$2:$A$20,"&gt;="&amp;K16,휴일!$A$2:$A$20,"&lt;="&amp;L16))</f>
        <v>1</v>
      </c>
      <c r="P16" s="32" t="n">
        <f aca="false">IF(OR(M16="",N16=""),0,N16-M16+1-COUNTIFS(휴일!$A$2:$A$20,"&gt;="&amp;M16,휴일!$A$2:$A$20,"&lt;="&amp;N16))</f>
        <v>0</v>
      </c>
      <c r="Q16" s="33" t="n">
        <f aca="false">IF(O16=0,0,MAX(0,MIN(O16,$L$1-K16+1-COUNTIFS(휴일!$A$2:$A$20,"&gt;="&amp;K16,휴일!$A$2:$A$20,"&lt;="&amp;$L$1))))</f>
        <v>1</v>
      </c>
      <c r="R16" s="33" t="n">
        <f aca="false">IF(P16=0,0,MIN(P16,O16))</f>
        <v>0</v>
      </c>
      <c r="S16" s="34" t="n">
        <f aca="false">IFERROR(Q16/O16,0)</f>
        <v>1</v>
      </c>
      <c r="T16" s="34" t="n">
        <f aca="false">IFERROR(R16/O16,0)</f>
        <v>0</v>
      </c>
      <c r="U16" s="35" t="n">
        <f aca="false">IF(OR(O16=0,R16=0),0,MIN(1,R16/O16))</f>
        <v>0</v>
      </c>
      <c r="V16" s="36" t="n">
        <f aca="false">U16-S16</f>
        <v>-1</v>
      </c>
      <c r="W16" s="37" t="str">
        <f aca="false">IF(AND(W$5&gt;=$K16,W$5&lt;=$L16,COUNTIF(휴일!$A$2:$A$20,W$5)=0),IF($G16="선택","□","■"),"")</f>
        <v>■</v>
      </c>
      <c r="X16" s="37" t="str">
        <f aca="false">IF(AND(X$5&gt;=$K16,X$5&lt;=$L16,COUNTIF(휴일!$A$2:$A$20,X$5)=0),IF($G16="선택","□","■"),"")</f>
        <v/>
      </c>
      <c r="Y16" s="37" t="str">
        <f aca="false">IF(AND(Y$5&gt;=$K16,Y$5&lt;=$L16,COUNTIF(휴일!$A$2:$A$20,Y$5)=0),IF($G16="선택","□","■"),"")</f>
        <v/>
      </c>
      <c r="Z16" s="37" t="str">
        <f aca="false">IF(AND(Z$5&gt;=$K16,Z$5&lt;=$L16,COUNTIF(휴일!$A$2:$A$20,Z$5)=0),IF($G16="선택","□","■"),"")</f>
        <v/>
      </c>
      <c r="AA16" s="37" t="str">
        <f aca="false">IF(AND(AA$5&gt;=$K16,AA$5&lt;=$L16,COUNTIF(휴일!$A$2:$A$20,AA$5)=0),IF($G16="선택","□","■"),"")</f>
        <v/>
      </c>
      <c r="AB16" s="37" t="str">
        <f aca="false">IF(AND(AB$5&gt;=$K16,AB$5&lt;=$L16,COUNTIF(휴일!$A$2:$A$20,AB$5)=0),IF($G16="선택","□","■"),"")</f>
        <v/>
      </c>
      <c r="AC16" s="37" t="str">
        <f aca="false">IF(AND(AC$5&gt;=$K16,AC$5&lt;=$L16,COUNTIF(휴일!$A$2:$A$20,AC$5)=0),IF($G16="선택","□","■"),"")</f>
        <v/>
      </c>
      <c r="AD16" s="37" t="str">
        <f aca="false">IF(AND(AD$5&gt;=$K16,AD$5&lt;=$L16,COUNTIF(휴일!$A$2:$A$20,AD$5)=0),IF($G16="선택","□","■"),"")</f>
        <v/>
      </c>
      <c r="AE16" s="37" t="str">
        <f aca="false">IF(AND(AE$5&gt;=$K16,AE$5&lt;=$L16,COUNTIF(휴일!$A$2:$A$20,AE$5)=0),IF($G16="선택","□","■"),"")</f>
        <v/>
      </c>
      <c r="AF16" s="37" t="str">
        <f aca="false">IF(AND(AF$5&gt;=$K16,AF$5&lt;=$L16,COUNTIF(휴일!$A$2:$A$20,AF$5)=0),IF($G16="선택","□","■"),"")</f>
        <v/>
      </c>
    </row>
    <row r="17" customFormat="false" ht="30" hidden="false" customHeight="true" outlineLevel="0" collapsed="false">
      <c r="B17" s="23"/>
      <c r="C17" s="24"/>
      <c r="D17" s="25"/>
      <c r="E17" s="26" t="s">
        <v>72</v>
      </c>
      <c r="F17" s="27" t="s">
        <v>73</v>
      </c>
      <c r="G17" s="28" t="s">
        <v>30</v>
      </c>
      <c r="H17" s="28" t="s">
        <v>31</v>
      </c>
      <c r="I17" s="29" t="s">
        <v>74</v>
      </c>
      <c r="J17" s="30" t="s">
        <v>75</v>
      </c>
      <c r="K17" s="31" t="n">
        <v>46322</v>
      </c>
      <c r="L17" s="31" t="n">
        <v>46322</v>
      </c>
      <c r="M17" s="31" t="n">
        <v>46322</v>
      </c>
      <c r="N17" s="31" t="n">
        <v>46322</v>
      </c>
      <c r="O17" s="32" t="n">
        <f aca="false">IF(OR(K17="",L17=""),0,L17-K17+1-COUNTIFS(휴일!$A$2:$A$20,"&gt;="&amp;K17,휴일!$A$2:$A$20,"&lt;="&amp;L17))</f>
        <v>1</v>
      </c>
      <c r="P17" s="32" t="n">
        <f aca="false">IF(OR(M17="",N17=""),0,N17-M17+1-COUNTIFS(휴일!$A$2:$A$20,"&gt;="&amp;M17,휴일!$A$2:$A$20,"&lt;="&amp;N17))</f>
        <v>1</v>
      </c>
      <c r="Q17" s="33" t="n">
        <f aca="false">IF(O17=0,0,MAX(0,MIN(O17,$L$1-K17+1-COUNTIFS(휴일!$A$2:$A$20,"&gt;="&amp;K17,휴일!$A$2:$A$20,"&lt;="&amp;$L$1))))</f>
        <v>1</v>
      </c>
      <c r="R17" s="33" t="n">
        <f aca="false">IF(P17=0,0,MIN(P17,O17))</f>
        <v>1</v>
      </c>
      <c r="S17" s="34" t="n">
        <f aca="false">IFERROR(Q17/O17,0)</f>
        <v>1</v>
      </c>
      <c r="T17" s="34" t="n">
        <f aca="false">IFERROR(R17/O17,0)</f>
        <v>1</v>
      </c>
      <c r="U17" s="35" t="n">
        <f aca="false">IF(OR(O17=0,R17=0),0,MIN(1,R17/O17))</f>
        <v>1</v>
      </c>
      <c r="V17" s="36" t="n">
        <f aca="false">U17-S17</f>
        <v>0</v>
      </c>
      <c r="W17" s="37" t="str">
        <f aca="false">IF(AND(W$5&gt;=$K17,W$5&lt;=$L17,COUNTIF(휴일!$A$2:$A$20,W$5)=0),IF($G17="선택","□","■"),"")</f>
        <v>■</v>
      </c>
      <c r="X17" s="37" t="str">
        <f aca="false">IF(AND(X$5&gt;=$K17,X$5&lt;=$L17,COUNTIF(휴일!$A$2:$A$20,X$5)=0),IF($G17="선택","□","■"),"")</f>
        <v/>
      </c>
      <c r="Y17" s="37" t="str">
        <f aca="false">IF(AND(Y$5&gt;=$K17,Y$5&lt;=$L17,COUNTIF(휴일!$A$2:$A$20,Y$5)=0),IF($G17="선택","□","■"),"")</f>
        <v/>
      </c>
      <c r="Z17" s="37" t="str">
        <f aca="false">IF(AND(Z$5&gt;=$K17,Z$5&lt;=$L17,COUNTIF(휴일!$A$2:$A$20,Z$5)=0),IF($G17="선택","□","■"),"")</f>
        <v/>
      </c>
      <c r="AA17" s="37" t="str">
        <f aca="false">IF(AND(AA$5&gt;=$K17,AA$5&lt;=$L17,COUNTIF(휴일!$A$2:$A$20,AA$5)=0),IF($G17="선택","□","■"),"")</f>
        <v/>
      </c>
      <c r="AB17" s="37" t="str">
        <f aca="false">IF(AND(AB$5&gt;=$K17,AB$5&lt;=$L17,COUNTIF(휴일!$A$2:$A$20,AB$5)=0),IF($G17="선택","□","■"),"")</f>
        <v/>
      </c>
      <c r="AC17" s="37" t="str">
        <f aca="false">IF(AND(AC$5&gt;=$K17,AC$5&lt;=$L17,COUNTIF(휴일!$A$2:$A$20,AC$5)=0),IF($G17="선택","□","■"),"")</f>
        <v/>
      </c>
      <c r="AD17" s="37" t="str">
        <f aca="false">IF(AND(AD$5&gt;=$K17,AD$5&lt;=$L17,COUNTIF(휴일!$A$2:$A$20,AD$5)=0),IF($G17="선택","□","■"),"")</f>
        <v/>
      </c>
      <c r="AE17" s="37" t="str">
        <f aca="false">IF(AND(AE$5&gt;=$K17,AE$5&lt;=$L17,COUNTIF(휴일!$A$2:$A$20,AE$5)=0),IF($G17="선택","□","■"),"")</f>
        <v/>
      </c>
      <c r="AF17" s="37" t="str">
        <f aca="false">IF(AND(AF$5&gt;=$K17,AF$5&lt;=$L17,COUNTIF(휴일!$A$2:$A$20,AF$5)=0),IF($G17="선택","□","■"),"")</f>
        <v/>
      </c>
    </row>
    <row r="18" customFormat="false" ht="30" hidden="false" customHeight="true" outlineLevel="0" collapsed="false">
      <c r="B18" s="23"/>
      <c r="C18" s="24"/>
      <c r="D18" s="25"/>
      <c r="E18" s="26" t="s">
        <v>72</v>
      </c>
      <c r="F18" s="27" t="s">
        <v>76</v>
      </c>
      <c r="G18" s="28" t="s">
        <v>30</v>
      </c>
      <c r="H18" s="28" t="s">
        <v>31</v>
      </c>
      <c r="I18" s="29" t="s">
        <v>77</v>
      </c>
      <c r="J18" s="30" t="s">
        <v>78</v>
      </c>
      <c r="K18" s="31" t="n">
        <v>46322</v>
      </c>
      <c r="L18" s="31" t="n">
        <v>46322</v>
      </c>
      <c r="M18" s="31" t="n">
        <v>46322</v>
      </c>
      <c r="N18" s="31" t="n">
        <v>46322</v>
      </c>
      <c r="O18" s="32" t="n">
        <f aca="false">IF(OR(K18="",L18=""),0,L18-K18+1-COUNTIFS(휴일!$A$2:$A$20,"&gt;="&amp;K18,휴일!$A$2:$A$20,"&lt;="&amp;L18))</f>
        <v>1</v>
      </c>
      <c r="P18" s="32" t="n">
        <f aca="false">IF(OR(M18="",N18=""),0,N18-M18+1-COUNTIFS(휴일!$A$2:$A$20,"&gt;="&amp;M18,휴일!$A$2:$A$20,"&lt;="&amp;N18))</f>
        <v>1</v>
      </c>
      <c r="Q18" s="33" t="n">
        <f aca="false">IF(O18=0,0,MAX(0,MIN(O18,$L$1-K18+1-COUNTIFS(휴일!$A$2:$A$20,"&gt;="&amp;K18,휴일!$A$2:$A$20,"&lt;="&amp;$L$1))))</f>
        <v>1</v>
      </c>
      <c r="R18" s="33" t="n">
        <f aca="false">IF(P18=0,0,MIN(P18,O18))</f>
        <v>1</v>
      </c>
      <c r="S18" s="34" t="n">
        <f aca="false">IFERROR(Q18/O18,0)</f>
        <v>1</v>
      </c>
      <c r="T18" s="34" t="n">
        <f aca="false">IFERROR(R18/O18,0)</f>
        <v>1</v>
      </c>
      <c r="U18" s="35" t="n">
        <f aca="false">IF(OR(O18=0,R18=0),0,MIN(1,R18/O18))</f>
        <v>1</v>
      </c>
      <c r="V18" s="36" t="n">
        <f aca="false">U18-S18</f>
        <v>0</v>
      </c>
      <c r="W18" s="37" t="str">
        <f aca="false">IF(AND(W$5&gt;=$K18,W$5&lt;=$L18,COUNTIF(휴일!$A$2:$A$20,W$5)=0),IF($G18="선택","□","■"),"")</f>
        <v>■</v>
      </c>
      <c r="X18" s="37" t="str">
        <f aca="false">IF(AND(X$5&gt;=$K18,X$5&lt;=$L18,COUNTIF(휴일!$A$2:$A$20,X$5)=0),IF($G18="선택","□","■"),"")</f>
        <v/>
      </c>
      <c r="Y18" s="37" t="str">
        <f aca="false">IF(AND(Y$5&gt;=$K18,Y$5&lt;=$L18,COUNTIF(휴일!$A$2:$A$20,Y$5)=0),IF($G18="선택","□","■"),"")</f>
        <v/>
      </c>
      <c r="Z18" s="37" t="str">
        <f aca="false">IF(AND(Z$5&gt;=$K18,Z$5&lt;=$L18,COUNTIF(휴일!$A$2:$A$20,Z$5)=0),IF($G18="선택","□","■"),"")</f>
        <v/>
      </c>
      <c r="AA18" s="37" t="str">
        <f aca="false">IF(AND(AA$5&gt;=$K18,AA$5&lt;=$L18,COUNTIF(휴일!$A$2:$A$20,AA$5)=0),IF($G18="선택","□","■"),"")</f>
        <v/>
      </c>
      <c r="AB18" s="37" t="str">
        <f aca="false">IF(AND(AB$5&gt;=$K18,AB$5&lt;=$L18,COUNTIF(휴일!$A$2:$A$20,AB$5)=0),IF($G18="선택","□","■"),"")</f>
        <v/>
      </c>
      <c r="AC18" s="37" t="str">
        <f aca="false">IF(AND(AC$5&gt;=$K18,AC$5&lt;=$L18,COUNTIF(휴일!$A$2:$A$20,AC$5)=0),IF($G18="선택","□","■"),"")</f>
        <v/>
      </c>
      <c r="AD18" s="37" t="str">
        <f aca="false">IF(AND(AD$5&gt;=$K18,AD$5&lt;=$L18,COUNTIF(휴일!$A$2:$A$20,AD$5)=0),IF($G18="선택","□","■"),"")</f>
        <v/>
      </c>
      <c r="AE18" s="37" t="str">
        <f aca="false">IF(AND(AE$5&gt;=$K18,AE$5&lt;=$L18,COUNTIF(휴일!$A$2:$A$20,AE$5)=0),IF($G18="선택","□","■"),"")</f>
        <v/>
      </c>
      <c r="AF18" s="37" t="str">
        <f aca="false">IF(AND(AF$5&gt;=$K18,AF$5&lt;=$L18,COUNTIF(휴일!$A$2:$A$20,AF$5)=0),IF($G18="선택","□","■"),"")</f>
        <v/>
      </c>
    </row>
    <row r="19" customFormat="false" ht="7.5" hidden="false" customHeight="true" outlineLevel="0" collapsed="false">
      <c r="B19" s="23"/>
      <c r="C19" s="24"/>
      <c r="D19" s="25"/>
      <c r="E19" s="26"/>
      <c r="F19" s="38"/>
      <c r="G19" s="28"/>
      <c r="H19" s="28"/>
      <c r="I19" s="28"/>
      <c r="J19" s="28"/>
      <c r="K19" s="31"/>
      <c r="L19" s="31"/>
      <c r="M19" s="31"/>
      <c r="N19" s="31"/>
      <c r="O19" s="32"/>
      <c r="P19" s="32"/>
      <c r="Q19" s="32"/>
      <c r="R19" s="32"/>
      <c r="S19" s="34"/>
      <c r="T19" s="34"/>
      <c r="U19" s="34"/>
      <c r="V19" s="34"/>
      <c r="W19" s="39"/>
      <c r="X19" s="39"/>
      <c r="Y19" s="39"/>
      <c r="Z19" s="39"/>
      <c r="AA19" s="39"/>
      <c r="AB19" s="39"/>
      <c r="AC19" s="39"/>
      <c r="AD19" s="39"/>
      <c r="AE19" s="39"/>
      <c r="AF19" s="39"/>
    </row>
    <row r="20" customFormat="false" ht="30" hidden="false" customHeight="true" outlineLevel="0" collapsed="false">
      <c r="B20" s="23" t="n">
        <v>2</v>
      </c>
      <c r="C20" s="24" t="n">
        <v>0.2</v>
      </c>
      <c r="D20" s="25" t="s">
        <v>79</v>
      </c>
      <c r="E20" s="26" t="s">
        <v>37</v>
      </c>
      <c r="F20" s="27" t="s">
        <v>80</v>
      </c>
      <c r="G20" s="28" t="s">
        <v>30</v>
      </c>
      <c r="H20" s="28" t="s">
        <v>31</v>
      </c>
      <c r="I20" s="29" t="s">
        <v>81</v>
      </c>
      <c r="J20" s="30" t="s">
        <v>82</v>
      </c>
      <c r="K20" s="31" t="n">
        <v>46323</v>
      </c>
      <c r="L20" s="31" t="n">
        <v>46323</v>
      </c>
      <c r="M20" s="31"/>
      <c r="N20" s="31"/>
      <c r="O20" s="32" t="n">
        <f aca="false">IF(OR(K20="",L20=""),0,L20-K20+1-COUNTIFS(휴일!$A$2:$A$20,"&gt;="&amp;K20,휴일!$A$2:$A$20,"&lt;="&amp;L20))</f>
        <v>1</v>
      </c>
      <c r="P20" s="32" t="n">
        <f aca="false">IF(OR(M20="",N20=""),0,N20-M20+1-COUNTIFS(휴일!$A$2:$A$20,"&gt;="&amp;M20,휴일!$A$2:$A$20,"&lt;="&amp;N20))</f>
        <v>0</v>
      </c>
      <c r="Q20" s="33" t="n">
        <f aca="false">IF(O20=0,0,MAX(0,MIN(O20,$L$1-K20+1-COUNTIFS(휴일!$A$2:$A$20,"&gt;="&amp;K20,휴일!$A$2:$A$20,"&lt;="&amp;$L$1))))</f>
        <v>0</v>
      </c>
      <c r="R20" s="33" t="n">
        <f aca="false">IF(P20=0,0,MIN(P20,O20))</f>
        <v>0</v>
      </c>
      <c r="S20" s="34" t="n">
        <f aca="false">IFERROR(Q20/O20,0)</f>
        <v>0</v>
      </c>
      <c r="T20" s="34" t="n">
        <f aca="false">IFERROR(R20/O20,0)</f>
        <v>0</v>
      </c>
      <c r="U20" s="35" t="n">
        <f aca="false">IF(OR(O20=0,R20=0),0,MIN(1,R20/O20))</f>
        <v>0</v>
      </c>
      <c r="V20" s="36" t="n">
        <f aca="false">U20-S20</f>
        <v>0</v>
      </c>
      <c r="W20" s="37" t="str">
        <f aca="false">IF(AND(W$5&gt;=$K20,W$5&lt;=$L20,COUNTIF(휴일!$A$2:$A$20,W$5)=0),IF($G20="선택","□","■"),"")</f>
        <v/>
      </c>
      <c r="X20" s="37" t="str">
        <f aca="false">IF(AND(X$5&gt;=$K20,X$5&lt;=$L20,COUNTIF(휴일!$A$2:$A$20,X$5)=0),IF($G20="선택","□","■"),"")</f>
        <v>■</v>
      </c>
      <c r="Y20" s="37" t="str">
        <f aca="false">IF(AND(Y$5&gt;=$K20,Y$5&lt;=$L20,COUNTIF(휴일!$A$2:$A$20,Y$5)=0),IF($G20="선택","□","■"),"")</f>
        <v/>
      </c>
      <c r="Z20" s="37" t="str">
        <f aca="false">IF(AND(Z$5&gt;=$K20,Z$5&lt;=$L20,COUNTIF(휴일!$A$2:$A$20,Z$5)=0),IF($G20="선택","□","■"),"")</f>
        <v/>
      </c>
      <c r="AA20" s="37" t="str">
        <f aca="false">IF(AND(AA$5&gt;=$K20,AA$5&lt;=$L20,COUNTIF(휴일!$A$2:$A$20,AA$5)=0),IF($G20="선택","□","■"),"")</f>
        <v/>
      </c>
      <c r="AB20" s="37" t="str">
        <f aca="false">IF(AND(AB$5&gt;=$K20,AB$5&lt;=$L20,COUNTIF(휴일!$A$2:$A$20,AB$5)=0),IF($G20="선택","□","■"),"")</f>
        <v/>
      </c>
      <c r="AC20" s="37" t="str">
        <f aca="false">IF(AND(AC$5&gt;=$K20,AC$5&lt;=$L20,COUNTIF(휴일!$A$2:$A$20,AC$5)=0),IF($G20="선택","□","■"),"")</f>
        <v/>
      </c>
      <c r="AD20" s="37" t="str">
        <f aca="false">IF(AND(AD$5&gt;=$K20,AD$5&lt;=$L20,COUNTIF(휴일!$A$2:$A$20,AD$5)=0),IF($G20="선택","□","■"),"")</f>
        <v/>
      </c>
      <c r="AE20" s="37" t="str">
        <f aca="false">IF(AND(AE$5&gt;=$K20,AE$5&lt;=$L20,COUNTIF(휴일!$A$2:$A$20,AE$5)=0),IF($G20="선택","□","■"),"")</f>
        <v/>
      </c>
      <c r="AF20" s="37" t="str">
        <f aca="false">IF(AND(AF$5&gt;=$K20,AF$5&lt;=$L20,COUNTIF(휴일!$A$2:$A$20,AF$5)=0),IF($G20="선택","□","■"),"")</f>
        <v/>
      </c>
    </row>
    <row r="21" customFormat="false" ht="30" hidden="false" customHeight="true" outlineLevel="0" collapsed="false">
      <c r="B21" s="23"/>
      <c r="C21" s="24"/>
      <c r="D21" s="25"/>
      <c r="E21" s="26" t="s">
        <v>37</v>
      </c>
      <c r="F21" s="27" t="s">
        <v>83</v>
      </c>
      <c r="G21" s="28" t="s">
        <v>30</v>
      </c>
      <c r="H21" s="28" t="s">
        <v>31</v>
      </c>
      <c r="I21" s="29" t="s">
        <v>84</v>
      </c>
      <c r="J21" s="30" t="s">
        <v>85</v>
      </c>
      <c r="K21" s="31" t="n">
        <v>46323</v>
      </c>
      <c r="L21" s="31" t="n">
        <v>46323</v>
      </c>
      <c r="M21" s="31"/>
      <c r="N21" s="31"/>
      <c r="O21" s="32" t="n">
        <f aca="false">IF(OR(K21="",L21=""),0,L21-K21+1-COUNTIFS(휴일!$A$2:$A$20,"&gt;="&amp;K21,휴일!$A$2:$A$20,"&lt;="&amp;L21))</f>
        <v>1</v>
      </c>
      <c r="P21" s="32" t="n">
        <f aca="false">IF(OR(M21="",N21=""),0,N21-M21+1-COUNTIFS(휴일!$A$2:$A$20,"&gt;="&amp;M21,휴일!$A$2:$A$20,"&lt;="&amp;N21))</f>
        <v>0</v>
      </c>
      <c r="Q21" s="33" t="n">
        <f aca="false">IF(O21=0,0,MAX(0,MIN(O21,$L$1-K21+1-COUNTIFS(휴일!$A$2:$A$20,"&gt;="&amp;K21,휴일!$A$2:$A$20,"&lt;="&amp;$L$1))))</f>
        <v>0</v>
      </c>
      <c r="R21" s="33" t="n">
        <f aca="false">IF(P21=0,0,MIN(P21,O21))</f>
        <v>0</v>
      </c>
      <c r="S21" s="34" t="n">
        <f aca="false">IFERROR(Q21/O21,0)</f>
        <v>0</v>
      </c>
      <c r="T21" s="34" t="n">
        <f aca="false">IFERROR(R21/O21,0)</f>
        <v>0</v>
      </c>
      <c r="U21" s="35" t="n">
        <f aca="false">IF(OR(O21=0,R21=0),0,MIN(1,R21/O21))</f>
        <v>0</v>
      </c>
      <c r="V21" s="36" t="n">
        <f aca="false">U21-S21</f>
        <v>0</v>
      </c>
      <c r="W21" s="37" t="str">
        <f aca="false">IF(AND(W$5&gt;=$K21,W$5&lt;=$L21,COUNTIF(휴일!$A$2:$A$20,W$5)=0),IF($G21="선택","□","■"),"")</f>
        <v/>
      </c>
      <c r="X21" s="37" t="str">
        <f aca="false">IF(AND(X$5&gt;=$K21,X$5&lt;=$L21,COUNTIF(휴일!$A$2:$A$20,X$5)=0),IF($G21="선택","□","■"),"")</f>
        <v>■</v>
      </c>
      <c r="Y21" s="37" t="str">
        <f aca="false">IF(AND(Y$5&gt;=$K21,Y$5&lt;=$L21,COUNTIF(휴일!$A$2:$A$20,Y$5)=0),IF($G21="선택","□","■"),"")</f>
        <v/>
      </c>
      <c r="Z21" s="37" t="str">
        <f aca="false">IF(AND(Z$5&gt;=$K21,Z$5&lt;=$L21,COUNTIF(휴일!$A$2:$A$20,Z$5)=0),IF($G21="선택","□","■"),"")</f>
        <v/>
      </c>
      <c r="AA21" s="37" t="str">
        <f aca="false">IF(AND(AA$5&gt;=$K21,AA$5&lt;=$L21,COUNTIF(휴일!$A$2:$A$20,AA$5)=0),IF($G21="선택","□","■"),"")</f>
        <v/>
      </c>
      <c r="AB21" s="37" t="str">
        <f aca="false">IF(AND(AB$5&gt;=$K21,AB$5&lt;=$L21,COUNTIF(휴일!$A$2:$A$20,AB$5)=0),IF($G21="선택","□","■"),"")</f>
        <v/>
      </c>
      <c r="AC21" s="37" t="str">
        <f aca="false">IF(AND(AC$5&gt;=$K21,AC$5&lt;=$L21,COUNTIF(휴일!$A$2:$A$20,AC$5)=0),IF($G21="선택","□","■"),"")</f>
        <v/>
      </c>
      <c r="AD21" s="37" t="str">
        <f aca="false">IF(AND(AD$5&gt;=$K21,AD$5&lt;=$L21,COUNTIF(휴일!$A$2:$A$20,AD$5)=0),IF($G21="선택","□","■"),"")</f>
        <v/>
      </c>
      <c r="AE21" s="37" t="str">
        <f aca="false">IF(AND(AE$5&gt;=$K21,AE$5&lt;=$L21,COUNTIF(휴일!$A$2:$A$20,AE$5)=0),IF($G21="선택","□","■"),"")</f>
        <v/>
      </c>
      <c r="AF21" s="37" t="str">
        <f aca="false">IF(AND(AF$5&gt;=$K21,AF$5&lt;=$L21,COUNTIF(휴일!$A$2:$A$20,AF$5)=0),IF($G21="선택","□","■"),"")</f>
        <v/>
      </c>
    </row>
    <row r="22" customFormat="false" ht="30" hidden="false" customHeight="true" outlineLevel="0" collapsed="false">
      <c r="B22" s="23"/>
      <c r="C22" s="24"/>
      <c r="D22" s="25"/>
      <c r="E22" s="26" t="s">
        <v>37</v>
      </c>
      <c r="F22" s="27" t="s">
        <v>86</v>
      </c>
      <c r="G22" s="28" t="s">
        <v>30</v>
      </c>
      <c r="H22" s="28" t="s">
        <v>31</v>
      </c>
      <c r="I22" s="29" t="s">
        <v>87</v>
      </c>
      <c r="J22" s="30" t="s">
        <v>88</v>
      </c>
      <c r="K22" s="31" t="n">
        <v>46323</v>
      </c>
      <c r="L22" s="31" t="n">
        <v>46323</v>
      </c>
      <c r="M22" s="31"/>
      <c r="N22" s="31"/>
      <c r="O22" s="32" t="n">
        <f aca="false">IF(OR(K22="",L22=""),0,L22-K22+1-COUNTIFS(휴일!$A$2:$A$20,"&gt;="&amp;K22,휴일!$A$2:$A$20,"&lt;="&amp;L22))</f>
        <v>1</v>
      </c>
      <c r="P22" s="32" t="n">
        <f aca="false">IF(OR(M22="",N22=""),0,N22-M22+1-COUNTIFS(휴일!$A$2:$A$20,"&gt;="&amp;M22,휴일!$A$2:$A$20,"&lt;="&amp;N22))</f>
        <v>0</v>
      </c>
      <c r="Q22" s="33" t="n">
        <f aca="false">IF(O22=0,0,MAX(0,MIN(O22,$L$1-K22+1-COUNTIFS(휴일!$A$2:$A$20,"&gt;="&amp;K22,휴일!$A$2:$A$20,"&lt;="&amp;$L$1))))</f>
        <v>0</v>
      </c>
      <c r="R22" s="33" t="n">
        <f aca="false">IF(P22=0,0,MIN(P22,O22))</f>
        <v>0</v>
      </c>
      <c r="S22" s="34" t="n">
        <f aca="false">IFERROR(Q22/O22,0)</f>
        <v>0</v>
      </c>
      <c r="T22" s="34" t="n">
        <f aca="false">IFERROR(R22/O22,0)</f>
        <v>0</v>
      </c>
      <c r="U22" s="35" t="n">
        <f aca="false">IF(OR(O22=0,R22=0),0,MIN(1,R22/O22))</f>
        <v>0</v>
      </c>
      <c r="V22" s="36" t="n">
        <f aca="false">U22-S22</f>
        <v>0</v>
      </c>
      <c r="W22" s="37" t="str">
        <f aca="false">IF(AND(W$5&gt;=$K22,W$5&lt;=$L22,COUNTIF(휴일!$A$2:$A$20,W$5)=0),IF($G22="선택","□","■"),"")</f>
        <v/>
      </c>
      <c r="X22" s="37" t="str">
        <f aca="false">IF(AND(X$5&gt;=$K22,X$5&lt;=$L22,COUNTIF(휴일!$A$2:$A$20,X$5)=0),IF($G22="선택","□","■"),"")</f>
        <v>■</v>
      </c>
      <c r="Y22" s="37" t="str">
        <f aca="false">IF(AND(Y$5&gt;=$K22,Y$5&lt;=$L22,COUNTIF(휴일!$A$2:$A$20,Y$5)=0),IF($G22="선택","□","■"),"")</f>
        <v/>
      </c>
      <c r="Z22" s="37" t="str">
        <f aca="false">IF(AND(Z$5&gt;=$K22,Z$5&lt;=$L22,COUNTIF(휴일!$A$2:$A$20,Z$5)=0),IF($G22="선택","□","■"),"")</f>
        <v/>
      </c>
      <c r="AA22" s="37" t="str">
        <f aca="false">IF(AND(AA$5&gt;=$K22,AA$5&lt;=$L22,COUNTIF(휴일!$A$2:$A$20,AA$5)=0),IF($G22="선택","□","■"),"")</f>
        <v/>
      </c>
      <c r="AB22" s="37" t="str">
        <f aca="false">IF(AND(AB$5&gt;=$K22,AB$5&lt;=$L22,COUNTIF(휴일!$A$2:$A$20,AB$5)=0),IF($G22="선택","□","■"),"")</f>
        <v/>
      </c>
      <c r="AC22" s="37" t="str">
        <f aca="false">IF(AND(AC$5&gt;=$K22,AC$5&lt;=$L22,COUNTIF(휴일!$A$2:$A$20,AC$5)=0),IF($G22="선택","□","■"),"")</f>
        <v/>
      </c>
      <c r="AD22" s="37" t="str">
        <f aca="false">IF(AND(AD$5&gt;=$K22,AD$5&lt;=$L22,COUNTIF(휴일!$A$2:$A$20,AD$5)=0),IF($G22="선택","□","■"),"")</f>
        <v/>
      </c>
      <c r="AE22" s="37" t="str">
        <f aca="false">IF(AND(AE$5&gt;=$K22,AE$5&lt;=$L22,COUNTIF(휴일!$A$2:$A$20,AE$5)=0),IF($G22="선택","□","■"),"")</f>
        <v/>
      </c>
      <c r="AF22" s="37" t="str">
        <f aca="false">IF(AND(AF$5&gt;=$K22,AF$5&lt;=$L22,COUNTIF(휴일!$A$2:$A$20,AF$5)=0),IF($G22="선택","□","■"),"")</f>
        <v/>
      </c>
    </row>
    <row r="23" customFormat="false" ht="30" hidden="false" customHeight="true" outlineLevel="0" collapsed="false">
      <c r="B23" s="23"/>
      <c r="C23" s="24"/>
      <c r="D23" s="25"/>
      <c r="E23" s="26" t="s">
        <v>37</v>
      </c>
      <c r="F23" s="27" t="s">
        <v>89</v>
      </c>
      <c r="G23" s="28" t="s">
        <v>30</v>
      </c>
      <c r="H23" s="28" t="s">
        <v>31</v>
      </c>
      <c r="I23" s="29" t="s">
        <v>90</v>
      </c>
      <c r="J23" s="30" t="s">
        <v>91</v>
      </c>
      <c r="K23" s="31" t="n">
        <v>46323</v>
      </c>
      <c r="L23" s="31" t="n">
        <v>46323</v>
      </c>
      <c r="M23" s="31"/>
      <c r="N23" s="31"/>
      <c r="O23" s="32" t="n">
        <f aca="false">IF(OR(K23="",L23=""),0,L23-K23+1-COUNTIFS(휴일!$A$2:$A$20,"&gt;="&amp;K23,휴일!$A$2:$A$20,"&lt;="&amp;L23))</f>
        <v>1</v>
      </c>
      <c r="P23" s="32" t="n">
        <f aca="false">IF(OR(M23="",N23=""),0,N23-M23+1-COUNTIFS(휴일!$A$2:$A$20,"&gt;="&amp;M23,휴일!$A$2:$A$20,"&lt;="&amp;N23))</f>
        <v>0</v>
      </c>
      <c r="Q23" s="33" t="n">
        <f aca="false">IF(O23=0,0,MAX(0,MIN(O23,$L$1-K23+1-COUNTIFS(휴일!$A$2:$A$20,"&gt;="&amp;K23,휴일!$A$2:$A$20,"&lt;="&amp;$L$1))))</f>
        <v>0</v>
      </c>
      <c r="R23" s="33" t="n">
        <f aca="false">IF(P23=0,0,MIN(P23,O23))</f>
        <v>0</v>
      </c>
      <c r="S23" s="34" t="n">
        <f aca="false">IFERROR(Q23/O23,0)</f>
        <v>0</v>
      </c>
      <c r="T23" s="34" t="n">
        <f aca="false">IFERROR(R23/O23,0)</f>
        <v>0</v>
      </c>
      <c r="U23" s="35" t="n">
        <f aca="false">IF(OR(O23=0,R23=0),0,MIN(1,R23/O23))</f>
        <v>0</v>
      </c>
      <c r="V23" s="36" t="n">
        <f aca="false">U23-S23</f>
        <v>0</v>
      </c>
      <c r="W23" s="37" t="str">
        <f aca="false">IF(AND(W$5&gt;=$K23,W$5&lt;=$L23,COUNTIF(휴일!$A$2:$A$20,W$5)=0),IF($G23="선택","□","■"),"")</f>
        <v/>
      </c>
      <c r="X23" s="37" t="str">
        <f aca="false">IF(AND(X$5&gt;=$K23,X$5&lt;=$L23,COUNTIF(휴일!$A$2:$A$20,X$5)=0),IF($G23="선택","□","■"),"")</f>
        <v>■</v>
      </c>
      <c r="Y23" s="37" t="str">
        <f aca="false">IF(AND(Y$5&gt;=$K23,Y$5&lt;=$L23,COUNTIF(휴일!$A$2:$A$20,Y$5)=0),IF($G23="선택","□","■"),"")</f>
        <v/>
      </c>
      <c r="Z23" s="37" t="str">
        <f aca="false">IF(AND(Z$5&gt;=$K23,Z$5&lt;=$L23,COUNTIF(휴일!$A$2:$A$20,Z$5)=0),IF($G23="선택","□","■"),"")</f>
        <v/>
      </c>
      <c r="AA23" s="37" t="str">
        <f aca="false">IF(AND(AA$5&gt;=$K23,AA$5&lt;=$L23,COUNTIF(휴일!$A$2:$A$20,AA$5)=0),IF($G23="선택","□","■"),"")</f>
        <v/>
      </c>
      <c r="AB23" s="37" t="str">
        <f aca="false">IF(AND(AB$5&gt;=$K23,AB$5&lt;=$L23,COUNTIF(휴일!$A$2:$A$20,AB$5)=0),IF($G23="선택","□","■"),"")</f>
        <v/>
      </c>
      <c r="AC23" s="37" t="str">
        <f aca="false">IF(AND(AC$5&gt;=$K23,AC$5&lt;=$L23,COUNTIF(휴일!$A$2:$A$20,AC$5)=0),IF($G23="선택","□","■"),"")</f>
        <v/>
      </c>
      <c r="AD23" s="37" t="str">
        <f aca="false">IF(AND(AD$5&gt;=$K23,AD$5&lt;=$L23,COUNTIF(휴일!$A$2:$A$20,AD$5)=0),IF($G23="선택","□","■"),"")</f>
        <v/>
      </c>
      <c r="AE23" s="37" t="str">
        <f aca="false">IF(AND(AE$5&gt;=$K23,AE$5&lt;=$L23,COUNTIF(휴일!$A$2:$A$20,AE$5)=0),IF($G23="선택","□","■"),"")</f>
        <v/>
      </c>
      <c r="AF23" s="37" t="str">
        <f aca="false">IF(AND(AF$5&gt;=$K23,AF$5&lt;=$L23,COUNTIF(휴일!$A$2:$A$20,AF$5)=0),IF($G23="선택","□","■"),"")</f>
        <v/>
      </c>
    </row>
    <row r="24" customFormat="false" ht="30" hidden="false" customHeight="true" outlineLevel="0" collapsed="false">
      <c r="B24" s="23"/>
      <c r="C24" s="24"/>
      <c r="D24" s="25"/>
      <c r="E24" s="26" t="s">
        <v>37</v>
      </c>
      <c r="F24" s="27" t="s">
        <v>92</v>
      </c>
      <c r="G24" s="28" t="s">
        <v>30</v>
      </c>
      <c r="H24" s="28" t="s">
        <v>31</v>
      </c>
      <c r="I24" s="29" t="s">
        <v>93</v>
      </c>
      <c r="J24" s="30" t="s">
        <v>94</v>
      </c>
      <c r="K24" s="31" t="n">
        <v>46323</v>
      </c>
      <c r="L24" s="31" t="n">
        <v>46323</v>
      </c>
      <c r="M24" s="31"/>
      <c r="N24" s="31"/>
      <c r="O24" s="32" t="n">
        <f aca="false">IF(OR(K24="",L24=""),0,L24-K24+1-COUNTIFS(휴일!$A$2:$A$20,"&gt;="&amp;K24,휴일!$A$2:$A$20,"&lt;="&amp;L24))</f>
        <v>1</v>
      </c>
      <c r="P24" s="32" t="n">
        <f aca="false">IF(OR(M24="",N24=""),0,N24-M24+1-COUNTIFS(휴일!$A$2:$A$20,"&gt;="&amp;M24,휴일!$A$2:$A$20,"&lt;="&amp;N24))</f>
        <v>0</v>
      </c>
      <c r="Q24" s="33" t="n">
        <f aca="false">IF(O24=0,0,MAX(0,MIN(O24,$L$1-K24+1-COUNTIFS(휴일!$A$2:$A$20,"&gt;="&amp;K24,휴일!$A$2:$A$20,"&lt;="&amp;$L$1))))</f>
        <v>0</v>
      </c>
      <c r="R24" s="33" t="n">
        <f aca="false">IF(P24=0,0,MIN(P24,O24))</f>
        <v>0</v>
      </c>
      <c r="S24" s="34" t="n">
        <f aca="false">IFERROR(Q24/O24,0)</f>
        <v>0</v>
      </c>
      <c r="T24" s="34" t="n">
        <f aca="false">IFERROR(R24/O24,0)</f>
        <v>0</v>
      </c>
      <c r="U24" s="35" t="n">
        <f aca="false">IF(OR(O24=0,R24=0),0,MIN(1,R24/O24))</f>
        <v>0</v>
      </c>
      <c r="V24" s="36" t="n">
        <f aca="false">U24-S24</f>
        <v>0</v>
      </c>
      <c r="W24" s="37" t="str">
        <f aca="false">IF(AND(W$5&gt;=$K24,W$5&lt;=$L24,COUNTIF(휴일!$A$2:$A$20,W$5)=0),IF($G24="선택","□","■"),"")</f>
        <v/>
      </c>
      <c r="X24" s="37" t="str">
        <f aca="false">IF(AND(X$5&gt;=$K24,X$5&lt;=$L24,COUNTIF(휴일!$A$2:$A$20,X$5)=0),IF($G24="선택","□","■"),"")</f>
        <v>■</v>
      </c>
      <c r="Y24" s="37" t="str">
        <f aca="false">IF(AND(Y$5&gt;=$K24,Y$5&lt;=$L24,COUNTIF(휴일!$A$2:$A$20,Y$5)=0),IF($G24="선택","□","■"),"")</f>
        <v/>
      </c>
      <c r="Z24" s="37" t="str">
        <f aca="false">IF(AND(Z$5&gt;=$K24,Z$5&lt;=$L24,COUNTIF(휴일!$A$2:$A$20,Z$5)=0),IF($G24="선택","□","■"),"")</f>
        <v/>
      </c>
      <c r="AA24" s="37" t="str">
        <f aca="false">IF(AND(AA$5&gt;=$K24,AA$5&lt;=$L24,COUNTIF(휴일!$A$2:$A$20,AA$5)=0),IF($G24="선택","□","■"),"")</f>
        <v/>
      </c>
      <c r="AB24" s="37" t="str">
        <f aca="false">IF(AND(AB$5&gt;=$K24,AB$5&lt;=$L24,COUNTIF(휴일!$A$2:$A$20,AB$5)=0),IF($G24="선택","□","■"),"")</f>
        <v/>
      </c>
      <c r="AC24" s="37" t="str">
        <f aca="false">IF(AND(AC$5&gt;=$K24,AC$5&lt;=$L24,COUNTIF(휴일!$A$2:$A$20,AC$5)=0),IF($G24="선택","□","■"),"")</f>
        <v/>
      </c>
      <c r="AD24" s="37" t="str">
        <f aca="false">IF(AND(AD$5&gt;=$K24,AD$5&lt;=$L24,COUNTIF(휴일!$A$2:$A$20,AD$5)=0),IF($G24="선택","□","■"),"")</f>
        <v/>
      </c>
      <c r="AE24" s="37" t="str">
        <f aca="false">IF(AND(AE$5&gt;=$K24,AE$5&lt;=$L24,COUNTIF(휴일!$A$2:$A$20,AE$5)=0),IF($G24="선택","□","■"),"")</f>
        <v/>
      </c>
      <c r="AF24" s="37" t="str">
        <f aca="false">IF(AND(AF$5&gt;=$K24,AF$5&lt;=$L24,COUNTIF(휴일!$A$2:$A$20,AF$5)=0),IF($G24="선택","□","■"),"")</f>
        <v/>
      </c>
    </row>
    <row r="25" customFormat="false" ht="30" hidden="false" customHeight="true" outlineLevel="0" collapsed="false">
      <c r="B25" s="23"/>
      <c r="C25" s="24"/>
      <c r="D25" s="25"/>
      <c r="E25" s="26" t="s">
        <v>95</v>
      </c>
      <c r="F25" s="27" t="s">
        <v>96</v>
      </c>
      <c r="G25" s="28" t="s">
        <v>30</v>
      </c>
      <c r="H25" s="28" t="s">
        <v>31</v>
      </c>
      <c r="I25" s="29" t="s">
        <v>97</v>
      </c>
      <c r="J25" s="30" t="s">
        <v>98</v>
      </c>
      <c r="K25" s="31" t="n">
        <v>46323</v>
      </c>
      <c r="L25" s="31" t="n">
        <v>46323</v>
      </c>
      <c r="M25" s="31"/>
      <c r="N25" s="31"/>
      <c r="O25" s="32" t="n">
        <f aca="false">IF(OR(K25="",L25=""),0,L25-K25+1-COUNTIFS(휴일!$A$2:$A$20,"&gt;="&amp;K25,휴일!$A$2:$A$20,"&lt;="&amp;L25))</f>
        <v>1</v>
      </c>
      <c r="P25" s="32" t="n">
        <f aca="false">IF(OR(M25="",N25=""),0,N25-M25+1-COUNTIFS(휴일!$A$2:$A$20,"&gt;="&amp;M25,휴일!$A$2:$A$20,"&lt;="&amp;N25))</f>
        <v>0</v>
      </c>
      <c r="Q25" s="33" t="n">
        <f aca="false">IF(O25=0,0,MAX(0,MIN(O25,$L$1-K25+1-COUNTIFS(휴일!$A$2:$A$20,"&gt;="&amp;K25,휴일!$A$2:$A$20,"&lt;="&amp;$L$1))))</f>
        <v>0</v>
      </c>
      <c r="R25" s="33" t="n">
        <f aca="false">IF(P25=0,0,MIN(P25,O25))</f>
        <v>0</v>
      </c>
      <c r="S25" s="34" t="n">
        <f aca="false">IFERROR(Q25/O25,0)</f>
        <v>0</v>
      </c>
      <c r="T25" s="34" t="n">
        <f aca="false">IFERROR(R25/O25,0)</f>
        <v>0</v>
      </c>
      <c r="U25" s="35" t="n">
        <f aca="false">IF(OR(O25=0,R25=0),0,MIN(1,R25/O25))</f>
        <v>0</v>
      </c>
      <c r="V25" s="36" t="n">
        <f aca="false">U25-S25</f>
        <v>0</v>
      </c>
      <c r="W25" s="37" t="str">
        <f aca="false">IF(AND(W$5&gt;=$K25,W$5&lt;=$L25,COUNTIF(휴일!$A$2:$A$20,W$5)=0),IF($G25="선택","□","■"),"")</f>
        <v/>
      </c>
      <c r="X25" s="37" t="str">
        <f aca="false">IF(AND(X$5&gt;=$K25,X$5&lt;=$L25,COUNTIF(휴일!$A$2:$A$20,X$5)=0),IF($G25="선택","□","■"),"")</f>
        <v>■</v>
      </c>
      <c r="Y25" s="37" t="str">
        <f aca="false">IF(AND(Y$5&gt;=$K25,Y$5&lt;=$L25,COUNTIF(휴일!$A$2:$A$20,Y$5)=0),IF($G25="선택","□","■"),"")</f>
        <v/>
      </c>
      <c r="Z25" s="37" t="str">
        <f aca="false">IF(AND(Z$5&gt;=$K25,Z$5&lt;=$L25,COUNTIF(휴일!$A$2:$A$20,Z$5)=0),IF($G25="선택","□","■"),"")</f>
        <v/>
      </c>
      <c r="AA25" s="37" t="str">
        <f aca="false">IF(AND(AA$5&gt;=$K25,AA$5&lt;=$L25,COUNTIF(휴일!$A$2:$A$20,AA$5)=0),IF($G25="선택","□","■"),"")</f>
        <v/>
      </c>
      <c r="AB25" s="37" t="str">
        <f aca="false">IF(AND(AB$5&gt;=$K25,AB$5&lt;=$L25,COUNTIF(휴일!$A$2:$A$20,AB$5)=0),IF($G25="선택","□","■"),"")</f>
        <v/>
      </c>
      <c r="AC25" s="37" t="str">
        <f aca="false">IF(AND(AC$5&gt;=$K25,AC$5&lt;=$L25,COUNTIF(휴일!$A$2:$A$20,AC$5)=0),IF($G25="선택","□","■"),"")</f>
        <v/>
      </c>
      <c r="AD25" s="37" t="str">
        <f aca="false">IF(AND(AD$5&gt;=$K25,AD$5&lt;=$L25,COUNTIF(휴일!$A$2:$A$20,AD$5)=0),IF($G25="선택","□","■"),"")</f>
        <v/>
      </c>
      <c r="AE25" s="37" t="str">
        <f aca="false">IF(AND(AE$5&gt;=$K25,AE$5&lt;=$L25,COUNTIF(휴일!$A$2:$A$20,AE$5)=0),IF($G25="선택","□","■"),"")</f>
        <v/>
      </c>
      <c r="AF25" s="37" t="str">
        <f aca="false">IF(AND(AF$5&gt;=$K25,AF$5&lt;=$L25,COUNTIF(휴일!$A$2:$A$20,AF$5)=0),IF($G25="선택","□","■"),"")</f>
        <v/>
      </c>
    </row>
    <row r="26" customFormat="false" ht="30" hidden="false" customHeight="true" outlineLevel="0" collapsed="false">
      <c r="B26" s="23"/>
      <c r="C26" s="24"/>
      <c r="D26" s="25"/>
      <c r="E26" s="26" t="s">
        <v>99</v>
      </c>
      <c r="F26" s="27" t="s">
        <v>100</v>
      </c>
      <c r="G26" s="28" t="s">
        <v>30</v>
      </c>
      <c r="H26" s="28" t="s">
        <v>31</v>
      </c>
      <c r="I26" s="29" t="s">
        <v>101</v>
      </c>
      <c r="J26" s="30" t="s">
        <v>102</v>
      </c>
      <c r="K26" s="31" t="n">
        <v>46323</v>
      </c>
      <c r="L26" s="31" t="n">
        <v>46323</v>
      </c>
      <c r="M26" s="31"/>
      <c r="N26" s="31"/>
      <c r="O26" s="32" t="n">
        <f aca="false">IF(OR(K26="",L26=""),0,L26-K26+1-COUNTIFS(휴일!$A$2:$A$20,"&gt;="&amp;K26,휴일!$A$2:$A$20,"&lt;="&amp;L26))</f>
        <v>1</v>
      </c>
      <c r="P26" s="32" t="n">
        <f aca="false">IF(OR(M26="",N26=""),0,N26-M26+1-COUNTIFS(휴일!$A$2:$A$20,"&gt;="&amp;M26,휴일!$A$2:$A$20,"&lt;="&amp;N26))</f>
        <v>0</v>
      </c>
      <c r="Q26" s="33" t="n">
        <f aca="false">IF(O26=0,0,MAX(0,MIN(O26,$L$1-K26+1-COUNTIFS(휴일!$A$2:$A$20,"&gt;="&amp;K26,휴일!$A$2:$A$20,"&lt;="&amp;$L$1))))</f>
        <v>0</v>
      </c>
      <c r="R26" s="33" t="n">
        <f aca="false">IF(P26=0,0,MIN(P26,O26))</f>
        <v>0</v>
      </c>
      <c r="S26" s="34" t="n">
        <f aca="false">IFERROR(Q26/O26,0)</f>
        <v>0</v>
      </c>
      <c r="T26" s="34" t="n">
        <f aca="false">IFERROR(R26/O26,0)</f>
        <v>0</v>
      </c>
      <c r="U26" s="35" t="n">
        <f aca="false">IF(OR(O26=0,R26=0),0,MIN(1,R26/O26))</f>
        <v>0</v>
      </c>
      <c r="V26" s="36" t="n">
        <f aca="false">U26-S26</f>
        <v>0</v>
      </c>
      <c r="W26" s="37" t="str">
        <f aca="false">IF(AND(W$5&gt;=$K26,W$5&lt;=$L26,COUNTIF(휴일!$A$2:$A$20,W$5)=0),IF($G26="선택","□","■"),"")</f>
        <v/>
      </c>
      <c r="X26" s="37" t="str">
        <f aca="false">IF(AND(X$5&gt;=$K26,X$5&lt;=$L26,COUNTIF(휴일!$A$2:$A$20,X$5)=0),IF($G26="선택","□","■"),"")</f>
        <v>■</v>
      </c>
      <c r="Y26" s="37" t="str">
        <f aca="false">IF(AND(Y$5&gt;=$K26,Y$5&lt;=$L26,COUNTIF(휴일!$A$2:$A$20,Y$5)=0),IF($G26="선택","□","■"),"")</f>
        <v/>
      </c>
      <c r="Z26" s="37" t="str">
        <f aca="false">IF(AND(Z$5&gt;=$K26,Z$5&lt;=$L26,COUNTIF(휴일!$A$2:$A$20,Z$5)=0),IF($G26="선택","□","■"),"")</f>
        <v/>
      </c>
      <c r="AA26" s="37" t="str">
        <f aca="false">IF(AND(AA$5&gt;=$K26,AA$5&lt;=$L26,COUNTIF(휴일!$A$2:$A$20,AA$5)=0),IF($G26="선택","□","■"),"")</f>
        <v/>
      </c>
      <c r="AB26" s="37" t="str">
        <f aca="false">IF(AND(AB$5&gt;=$K26,AB$5&lt;=$L26,COUNTIF(휴일!$A$2:$A$20,AB$5)=0),IF($G26="선택","□","■"),"")</f>
        <v/>
      </c>
      <c r="AC26" s="37" t="str">
        <f aca="false">IF(AND(AC$5&gt;=$K26,AC$5&lt;=$L26,COUNTIF(휴일!$A$2:$A$20,AC$5)=0),IF($G26="선택","□","■"),"")</f>
        <v/>
      </c>
      <c r="AD26" s="37" t="str">
        <f aca="false">IF(AND(AD$5&gt;=$K26,AD$5&lt;=$L26,COUNTIF(휴일!$A$2:$A$20,AD$5)=0),IF($G26="선택","□","■"),"")</f>
        <v/>
      </c>
      <c r="AE26" s="37" t="str">
        <f aca="false">IF(AND(AE$5&gt;=$K26,AE$5&lt;=$L26,COUNTIF(휴일!$A$2:$A$20,AE$5)=0),IF($G26="선택","□","■"),"")</f>
        <v/>
      </c>
      <c r="AF26" s="37" t="str">
        <f aca="false">IF(AND(AF$5&gt;=$K26,AF$5&lt;=$L26,COUNTIF(휴일!$A$2:$A$20,AF$5)=0),IF($G26="선택","□","■"),"")</f>
        <v/>
      </c>
    </row>
    <row r="27" customFormat="false" ht="30" hidden="false" customHeight="true" outlineLevel="0" collapsed="false">
      <c r="B27" s="23"/>
      <c r="C27" s="24"/>
      <c r="D27" s="25"/>
      <c r="E27" s="26" t="s">
        <v>103</v>
      </c>
      <c r="F27" s="27" t="s">
        <v>104</v>
      </c>
      <c r="G27" s="28" t="s">
        <v>30</v>
      </c>
      <c r="H27" s="28" t="s">
        <v>31</v>
      </c>
      <c r="I27" s="29" t="s">
        <v>105</v>
      </c>
      <c r="J27" s="30" t="s">
        <v>106</v>
      </c>
      <c r="K27" s="31" t="n">
        <v>46323</v>
      </c>
      <c r="L27" s="31" t="n">
        <v>46323</v>
      </c>
      <c r="M27" s="31"/>
      <c r="N27" s="31"/>
      <c r="O27" s="32" t="n">
        <f aca="false">IF(OR(K27="",L27=""),0,L27-K27+1-COUNTIFS(휴일!$A$2:$A$20,"&gt;="&amp;K27,휴일!$A$2:$A$20,"&lt;="&amp;L27))</f>
        <v>1</v>
      </c>
      <c r="P27" s="32" t="n">
        <f aca="false">IF(OR(M27="",N27=""),0,N27-M27+1-COUNTIFS(휴일!$A$2:$A$20,"&gt;="&amp;M27,휴일!$A$2:$A$20,"&lt;="&amp;N27))</f>
        <v>0</v>
      </c>
      <c r="Q27" s="33" t="n">
        <f aca="false">IF(O27=0,0,MAX(0,MIN(O27,$L$1-K27+1-COUNTIFS(휴일!$A$2:$A$20,"&gt;="&amp;K27,휴일!$A$2:$A$20,"&lt;="&amp;$L$1))))</f>
        <v>0</v>
      </c>
      <c r="R27" s="33" t="n">
        <f aca="false">IF(P27=0,0,MIN(P27,O27))</f>
        <v>0</v>
      </c>
      <c r="S27" s="34" t="n">
        <f aca="false">IFERROR(Q27/O27,0)</f>
        <v>0</v>
      </c>
      <c r="T27" s="34" t="n">
        <f aca="false">IFERROR(R27/O27,0)</f>
        <v>0</v>
      </c>
      <c r="U27" s="35" t="n">
        <f aca="false">IF(OR(O27=0,R27=0),0,MIN(1,R27/O27))</f>
        <v>0</v>
      </c>
      <c r="V27" s="36" t="n">
        <f aca="false">U27-S27</f>
        <v>0</v>
      </c>
      <c r="W27" s="37" t="str">
        <f aca="false">IF(AND(W$5&gt;=$K27,W$5&lt;=$L27,COUNTIF(휴일!$A$2:$A$20,W$5)=0),IF($G27="선택","□","■"),"")</f>
        <v/>
      </c>
      <c r="X27" s="37" t="str">
        <f aca="false">IF(AND(X$5&gt;=$K27,X$5&lt;=$L27,COUNTIF(휴일!$A$2:$A$20,X$5)=0),IF($G27="선택","□","■"),"")</f>
        <v>■</v>
      </c>
      <c r="Y27" s="37" t="str">
        <f aca="false">IF(AND(Y$5&gt;=$K27,Y$5&lt;=$L27,COUNTIF(휴일!$A$2:$A$20,Y$5)=0),IF($G27="선택","□","■"),"")</f>
        <v/>
      </c>
      <c r="Z27" s="37" t="str">
        <f aca="false">IF(AND(Z$5&gt;=$K27,Z$5&lt;=$L27,COUNTIF(휴일!$A$2:$A$20,Z$5)=0),IF($G27="선택","□","■"),"")</f>
        <v/>
      </c>
      <c r="AA27" s="37" t="str">
        <f aca="false">IF(AND(AA$5&gt;=$K27,AA$5&lt;=$L27,COUNTIF(휴일!$A$2:$A$20,AA$5)=0),IF($G27="선택","□","■"),"")</f>
        <v/>
      </c>
      <c r="AB27" s="37" t="str">
        <f aca="false">IF(AND(AB$5&gt;=$K27,AB$5&lt;=$L27,COUNTIF(휴일!$A$2:$A$20,AB$5)=0),IF($G27="선택","□","■"),"")</f>
        <v/>
      </c>
      <c r="AC27" s="37" t="str">
        <f aca="false">IF(AND(AC$5&gt;=$K27,AC$5&lt;=$L27,COUNTIF(휴일!$A$2:$A$20,AC$5)=0),IF($G27="선택","□","■"),"")</f>
        <v/>
      </c>
      <c r="AD27" s="37" t="str">
        <f aca="false">IF(AND(AD$5&gt;=$K27,AD$5&lt;=$L27,COUNTIF(휴일!$A$2:$A$20,AD$5)=0),IF($G27="선택","□","■"),"")</f>
        <v/>
      </c>
      <c r="AE27" s="37" t="str">
        <f aca="false">IF(AND(AE$5&gt;=$K27,AE$5&lt;=$L27,COUNTIF(휴일!$A$2:$A$20,AE$5)=0),IF($G27="선택","□","■"),"")</f>
        <v/>
      </c>
      <c r="AF27" s="37" t="str">
        <f aca="false">IF(AND(AF$5&gt;=$K27,AF$5&lt;=$L27,COUNTIF(휴일!$A$2:$A$20,AF$5)=0),IF($G27="선택","□","■"),"")</f>
        <v/>
      </c>
    </row>
    <row r="28" customFormat="false" ht="30" hidden="false" customHeight="true" outlineLevel="0" collapsed="false">
      <c r="B28" s="23"/>
      <c r="C28" s="24"/>
      <c r="D28" s="25"/>
      <c r="E28" s="26" t="s">
        <v>107</v>
      </c>
      <c r="F28" s="27" t="s">
        <v>108</v>
      </c>
      <c r="G28" s="28" t="s">
        <v>30</v>
      </c>
      <c r="H28" s="28" t="s">
        <v>31</v>
      </c>
      <c r="I28" s="29" t="s">
        <v>109</v>
      </c>
      <c r="J28" s="30" t="s">
        <v>110</v>
      </c>
      <c r="K28" s="31" t="n">
        <v>46324</v>
      </c>
      <c r="L28" s="31" t="n">
        <v>46324</v>
      </c>
      <c r="M28" s="31"/>
      <c r="N28" s="31"/>
      <c r="O28" s="32" t="n">
        <f aca="false">IF(OR(K28="",L28=""),0,L28-K28+1-COUNTIFS(휴일!$A$2:$A$20,"&gt;="&amp;K28,휴일!$A$2:$A$20,"&lt;="&amp;L28))</f>
        <v>1</v>
      </c>
      <c r="P28" s="32" t="n">
        <f aca="false">IF(OR(M28="",N28=""),0,N28-M28+1-COUNTIFS(휴일!$A$2:$A$20,"&gt;="&amp;M28,휴일!$A$2:$A$20,"&lt;="&amp;N28))</f>
        <v>0</v>
      </c>
      <c r="Q28" s="33" t="n">
        <f aca="false">IF(O28=0,0,MAX(0,MIN(O28,$L$1-K28+1-COUNTIFS(휴일!$A$2:$A$20,"&gt;="&amp;K28,휴일!$A$2:$A$20,"&lt;="&amp;$L$1))))</f>
        <v>0</v>
      </c>
      <c r="R28" s="33" t="n">
        <f aca="false">IF(P28=0,0,MIN(P28,O28))</f>
        <v>0</v>
      </c>
      <c r="S28" s="34" t="n">
        <f aca="false">IFERROR(Q28/O28,0)</f>
        <v>0</v>
      </c>
      <c r="T28" s="34" t="n">
        <f aca="false">IFERROR(R28/O28,0)</f>
        <v>0</v>
      </c>
      <c r="U28" s="35" t="n">
        <f aca="false">IF(OR(O28=0,R28=0),0,MIN(1,R28/O28))</f>
        <v>0</v>
      </c>
      <c r="V28" s="36" t="n">
        <f aca="false">U28-S28</f>
        <v>0</v>
      </c>
      <c r="W28" s="37" t="str">
        <f aca="false">IF(AND(W$5&gt;=$K28,W$5&lt;=$L28,COUNTIF(휴일!$A$2:$A$20,W$5)=0),IF($G28="선택","□","■"),"")</f>
        <v/>
      </c>
      <c r="X28" s="37" t="str">
        <f aca="false">IF(AND(X$5&gt;=$K28,X$5&lt;=$L28,COUNTIF(휴일!$A$2:$A$20,X$5)=0),IF($G28="선택","□","■"),"")</f>
        <v/>
      </c>
      <c r="Y28" s="37" t="str">
        <f aca="false">IF(AND(Y$5&gt;=$K28,Y$5&lt;=$L28,COUNTIF(휴일!$A$2:$A$20,Y$5)=0),IF($G28="선택","□","■"),"")</f>
        <v>■</v>
      </c>
      <c r="Z28" s="37" t="str">
        <f aca="false">IF(AND(Z$5&gt;=$K28,Z$5&lt;=$L28,COUNTIF(휴일!$A$2:$A$20,Z$5)=0),IF($G28="선택","□","■"),"")</f>
        <v/>
      </c>
      <c r="AA28" s="37" t="str">
        <f aca="false">IF(AND(AA$5&gt;=$K28,AA$5&lt;=$L28,COUNTIF(휴일!$A$2:$A$20,AA$5)=0),IF($G28="선택","□","■"),"")</f>
        <v/>
      </c>
      <c r="AB28" s="37" t="str">
        <f aca="false">IF(AND(AB$5&gt;=$K28,AB$5&lt;=$L28,COUNTIF(휴일!$A$2:$A$20,AB$5)=0),IF($G28="선택","□","■"),"")</f>
        <v/>
      </c>
      <c r="AC28" s="37" t="str">
        <f aca="false">IF(AND(AC$5&gt;=$K28,AC$5&lt;=$L28,COUNTIF(휴일!$A$2:$A$20,AC$5)=0),IF($G28="선택","□","■"),"")</f>
        <v/>
      </c>
      <c r="AD28" s="37" t="str">
        <f aca="false">IF(AND(AD$5&gt;=$K28,AD$5&lt;=$L28,COUNTIF(휴일!$A$2:$A$20,AD$5)=0),IF($G28="선택","□","■"),"")</f>
        <v/>
      </c>
      <c r="AE28" s="37" t="str">
        <f aca="false">IF(AND(AE$5&gt;=$K28,AE$5&lt;=$L28,COUNTIF(휴일!$A$2:$A$20,AE$5)=0),IF($G28="선택","□","■"),"")</f>
        <v/>
      </c>
      <c r="AF28" s="37" t="str">
        <f aca="false">IF(AND(AF$5&gt;=$K28,AF$5&lt;=$L28,COUNTIF(휴일!$A$2:$A$20,AF$5)=0),IF($G28="선택","□","■"),"")</f>
        <v/>
      </c>
    </row>
    <row r="29" customFormat="false" ht="30" hidden="false" customHeight="true" outlineLevel="0" collapsed="false">
      <c r="B29" s="23"/>
      <c r="C29" s="24"/>
      <c r="D29" s="25"/>
      <c r="E29" s="26" t="s">
        <v>111</v>
      </c>
      <c r="F29" s="27" t="s">
        <v>112</v>
      </c>
      <c r="G29" s="28" t="s">
        <v>30</v>
      </c>
      <c r="H29" s="28" t="s">
        <v>31</v>
      </c>
      <c r="I29" s="29" t="s">
        <v>113</v>
      </c>
      <c r="J29" s="30" t="s">
        <v>114</v>
      </c>
      <c r="K29" s="31" t="n">
        <v>46324</v>
      </c>
      <c r="L29" s="31" t="n">
        <v>46324</v>
      </c>
      <c r="M29" s="31"/>
      <c r="N29" s="31"/>
      <c r="O29" s="32" t="n">
        <f aca="false">IF(OR(K29="",L29=""),0,L29-K29+1-COUNTIFS(휴일!$A$2:$A$20,"&gt;="&amp;K29,휴일!$A$2:$A$20,"&lt;="&amp;L29))</f>
        <v>1</v>
      </c>
      <c r="P29" s="32" t="n">
        <f aca="false">IF(OR(M29="",N29=""),0,N29-M29+1-COUNTIFS(휴일!$A$2:$A$20,"&gt;="&amp;M29,휴일!$A$2:$A$20,"&lt;="&amp;N29))</f>
        <v>0</v>
      </c>
      <c r="Q29" s="33" t="n">
        <f aca="false">IF(O29=0,0,MAX(0,MIN(O29,$L$1-K29+1-COUNTIFS(휴일!$A$2:$A$20,"&gt;="&amp;K29,휴일!$A$2:$A$20,"&lt;="&amp;$L$1))))</f>
        <v>0</v>
      </c>
      <c r="R29" s="33" t="n">
        <f aca="false">IF(P29=0,0,MIN(P29,O29))</f>
        <v>0</v>
      </c>
      <c r="S29" s="34" t="n">
        <f aca="false">IFERROR(Q29/O29,0)</f>
        <v>0</v>
      </c>
      <c r="T29" s="34" t="n">
        <f aca="false">IFERROR(R29/O29,0)</f>
        <v>0</v>
      </c>
      <c r="U29" s="35" t="n">
        <f aca="false">IF(OR(O29=0,R29=0),0,MIN(1,R29/O29))</f>
        <v>0</v>
      </c>
      <c r="V29" s="36" t="n">
        <f aca="false">U29-S29</f>
        <v>0</v>
      </c>
      <c r="W29" s="37" t="str">
        <f aca="false">IF(AND(W$5&gt;=$K29,W$5&lt;=$L29,COUNTIF(휴일!$A$2:$A$20,W$5)=0),IF($G29="선택","□","■"),"")</f>
        <v/>
      </c>
      <c r="X29" s="37" t="str">
        <f aca="false">IF(AND(X$5&gt;=$K29,X$5&lt;=$L29,COUNTIF(휴일!$A$2:$A$20,X$5)=0),IF($G29="선택","□","■"),"")</f>
        <v/>
      </c>
      <c r="Y29" s="37" t="str">
        <f aca="false">IF(AND(Y$5&gt;=$K29,Y$5&lt;=$L29,COUNTIF(휴일!$A$2:$A$20,Y$5)=0),IF($G29="선택","□","■"),"")</f>
        <v>■</v>
      </c>
      <c r="Z29" s="37" t="str">
        <f aca="false">IF(AND(Z$5&gt;=$K29,Z$5&lt;=$L29,COUNTIF(휴일!$A$2:$A$20,Z$5)=0),IF($G29="선택","□","■"),"")</f>
        <v/>
      </c>
      <c r="AA29" s="37" t="str">
        <f aca="false">IF(AND(AA$5&gt;=$K29,AA$5&lt;=$L29,COUNTIF(휴일!$A$2:$A$20,AA$5)=0),IF($G29="선택","□","■"),"")</f>
        <v/>
      </c>
      <c r="AB29" s="37" t="str">
        <f aca="false">IF(AND(AB$5&gt;=$K29,AB$5&lt;=$L29,COUNTIF(휴일!$A$2:$A$20,AB$5)=0),IF($G29="선택","□","■"),"")</f>
        <v/>
      </c>
      <c r="AC29" s="37" t="str">
        <f aca="false">IF(AND(AC$5&gt;=$K29,AC$5&lt;=$L29,COUNTIF(휴일!$A$2:$A$20,AC$5)=0),IF($G29="선택","□","■"),"")</f>
        <v/>
      </c>
      <c r="AD29" s="37" t="str">
        <f aca="false">IF(AND(AD$5&gt;=$K29,AD$5&lt;=$L29,COUNTIF(휴일!$A$2:$A$20,AD$5)=0),IF($G29="선택","□","■"),"")</f>
        <v/>
      </c>
      <c r="AE29" s="37" t="str">
        <f aca="false">IF(AND(AE$5&gt;=$K29,AE$5&lt;=$L29,COUNTIF(휴일!$A$2:$A$20,AE$5)=0),IF($G29="선택","□","■"),"")</f>
        <v/>
      </c>
      <c r="AF29" s="37" t="str">
        <f aca="false">IF(AND(AF$5&gt;=$K29,AF$5&lt;=$L29,COUNTIF(휴일!$A$2:$A$20,AF$5)=0),IF($G29="선택","□","■"),"")</f>
        <v/>
      </c>
    </row>
    <row r="30" customFormat="false" ht="30" hidden="false" customHeight="true" outlineLevel="0" collapsed="false">
      <c r="B30" s="23"/>
      <c r="C30" s="24"/>
      <c r="D30" s="25"/>
      <c r="E30" s="26" t="s">
        <v>111</v>
      </c>
      <c r="F30" s="27" t="s">
        <v>115</v>
      </c>
      <c r="G30" s="28" t="s">
        <v>30</v>
      </c>
      <c r="H30" s="28" t="s">
        <v>31</v>
      </c>
      <c r="I30" s="29" t="s">
        <v>116</v>
      </c>
      <c r="J30" s="30" t="s">
        <v>117</v>
      </c>
      <c r="K30" s="31" t="n">
        <v>46324</v>
      </c>
      <c r="L30" s="31" t="n">
        <v>46324</v>
      </c>
      <c r="M30" s="31"/>
      <c r="N30" s="31"/>
      <c r="O30" s="32" t="n">
        <f aca="false">IF(OR(K30="",L30=""),0,L30-K30+1-COUNTIFS(휴일!$A$2:$A$20,"&gt;="&amp;K30,휴일!$A$2:$A$20,"&lt;="&amp;L30))</f>
        <v>1</v>
      </c>
      <c r="P30" s="32" t="n">
        <f aca="false">IF(OR(M30="",N30=""),0,N30-M30+1-COUNTIFS(휴일!$A$2:$A$20,"&gt;="&amp;M30,휴일!$A$2:$A$20,"&lt;="&amp;N30))</f>
        <v>0</v>
      </c>
      <c r="Q30" s="33" t="n">
        <f aca="false">IF(O30=0,0,MAX(0,MIN(O30,$L$1-K30+1-COUNTIFS(휴일!$A$2:$A$20,"&gt;="&amp;K30,휴일!$A$2:$A$20,"&lt;="&amp;$L$1))))</f>
        <v>0</v>
      </c>
      <c r="R30" s="33" t="n">
        <f aca="false">IF(P30=0,0,MIN(P30,O30))</f>
        <v>0</v>
      </c>
      <c r="S30" s="34" t="n">
        <f aca="false">IFERROR(Q30/O30,0)</f>
        <v>0</v>
      </c>
      <c r="T30" s="34" t="n">
        <f aca="false">IFERROR(R30/O30,0)</f>
        <v>0</v>
      </c>
      <c r="U30" s="35" t="n">
        <f aca="false">IF(OR(O30=0,R30=0),0,MIN(1,R30/O30))</f>
        <v>0</v>
      </c>
      <c r="V30" s="36" t="n">
        <f aca="false">U30-S30</f>
        <v>0</v>
      </c>
      <c r="W30" s="37" t="str">
        <f aca="false">IF(AND(W$5&gt;=$K30,W$5&lt;=$L30,COUNTIF(휴일!$A$2:$A$20,W$5)=0),IF($G30="선택","□","■"),"")</f>
        <v/>
      </c>
      <c r="X30" s="37" t="str">
        <f aca="false">IF(AND(X$5&gt;=$K30,X$5&lt;=$L30,COUNTIF(휴일!$A$2:$A$20,X$5)=0),IF($G30="선택","□","■"),"")</f>
        <v/>
      </c>
      <c r="Y30" s="37" t="str">
        <f aca="false">IF(AND(Y$5&gt;=$K30,Y$5&lt;=$L30,COUNTIF(휴일!$A$2:$A$20,Y$5)=0),IF($G30="선택","□","■"),"")</f>
        <v>■</v>
      </c>
      <c r="Z30" s="37" t="str">
        <f aca="false">IF(AND(Z$5&gt;=$K30,Z$5&lt;=$L30,COUNTIF(휴일!$A$2:$A$20,Z$5)=0),IF($G30="선택","□","■"),"")</f>
        <v/>
      </c>
      <c r="AA30" s="37" t="str">
        <f aca="false">IF(AND(AA$5&gt;=$K30,AA$5&lt;=$L30,COUNTIF(휴일!$A$2:$A$20,AA$5)=0),IF($G30="선택","□","■"),"")</f>
        <v/>
      </c>
      <c r="AB30" s="37" t="str">
        <f aca="false">IF(AND(AB$5&gt;=$K30,AB$5&lt;=$L30,COUNTIF(휴일!$A$2:$A$20,AB$5)=0),IF($G30="선택","□","■"),"")</f>
        <v/>
      </c>
      <c r="AC30" s="37" t="str">
        <f aca="false">IF(AND(AC$5&gt;=$K30,AC$5&lt;=$L30,COUNTIF(휴일!$A$2:$A$20,AC$5)=0),IF($G30="선택","□","■"),"")</f>
        <v/>
      </c>
      <c r="AD30" s="37" t="str">
        <f aca="false">IF(AND(AD$5&gt;=$K30,AD$5&lt;=$L30,COUNTIF(휴일!$A$2:$A$20,AD$5)=0),IF($G30="선택","□","■"),"")</f>
        <v/>
      </c>
      <c r="AE30" s="37" t="str">
        <f aca="false">IF(AND(AE$5&gt;=$K30,AE$5&lt;=$L30,COUNTIF(휴일!$A$2:$A$20,AE$5)=0),IF($G30="선택","□","■"),"")</f>
        <v/>
      </c>
      <c r="AF30" s="37" t="str">
        <f aca="false">IF(AND(AF$5&gt;=$K30,AF$5&lt;=$L30,COUNTIF(휴일!$A$2:$A$20,AF$5)=0),IF($G30="선택","□","■"),"")</f>
        <v/>
      </c>
    </row>
    <row r="31" customFormat="false" ht="30" hidden="false" customHeight="true" outlineLevel="0" collapsed="false">
      <c r="B31" s="23"/>
      <c r="C31" s="24"/>
      <c r="D31" s="25"/>
      <c r="E31" s="26" t="s">
        <v>118</v>
      </c>
      <c r="F31" s="27" t="s">
        <v>119</v>
      </c>
      <c r="G31" s="28" t="s">
        <v>30</v>
      </c>
      <c r="H31" s="28" t="s">
        <v>31</v>
      </c>
      <c r="I31" s="29" t="s">
        <v>120</v>
      </c>
      <c r="J31" s="30" t="s">
        <v>121</v>
      </c>
      <c r="K31" s="31" t="n">
        <v>46324</v>
      </c>
      <c r="L31" s="31" t="n">
        <v>46324</v>
      </c>
      <c r="M31" s="31"/>
      <c r="N31" s="31"/>
      <c r="O31" s="32" t="n">
        <f aca="false">IF(OR(K31="",L31=""),0,L31-K31+1-COUNTIFS(휴일!$A$2:$A$20,"&gt;="&amp;K31,휴일!$A$2:$A$20,"&lt;="&amp;L31))</f>
        <v>1</v>
      </c>
      <c r="P31" s="32" t="n">
        <f aca="false">IF(OR(M31="",N31=""),0,N31-M31+1-COUNTIFS(휴일!$A$2:$A$20,"&gt;="&amp;M31,휴일!$A$2:$A$20,"&lt;="&amp;N31))</f>
        <v>0</v>
      </c>
      <c r="Q31" s="33" t="n">
        <f aca="false">IF(O31=0,0,MAX(0,MIN(O31,$L$1-K31+1-COUNTIFS(휴일!$A$2:$A$20,"&gt;="&amp;K31,휴일!$A$2:$A$20,"&lt;="&amp;$L$1))))</f>
        <v>0</v>
      </c>
      <c r="R31" s="33" t="n">
        <f aca="false">IF(P31=0,0,MIN(P31,O31))</f>
        <v>0</v>
      </c>
      <c r="S31" s="34" t="n">
        <f aca="false">IFERROR(Q31/O31,0)</f>
        <v>0</v>
      </c>
      <c r="T31" s="34" t="n">
        <f aca="false">IFERROR(R31/O31,0)</f>
        <v>0</v>
      </c>
      <c r="U31" s="35" t="n">
        <f aca="false">IF(OR(O31=0,R31=0),0,MIN(1,R31/O31))</f>
        <v>0</v>
      </c>
      <c r="V31" s="36" t="n">
        <f aca="false">U31-S31</f>
        <v>0</v>
      </c>
      <c r="W31" s="37" t="str">
        <f aca="false">IF(AND(W$5&gt;=$K31,W$5&lt;=$L31,COUNTIF(휴일!$A$2:$A$20,W$5)=0),IF($G31="선택","□","■"),"")</f>
        <v/>
      </c>
      <c r="X31" s="37" t="str">
        <f aca="false">IF(AND(X$5&gt;=$K31,X$5&lt;=$L31,COUNTIF(휴일!$A$2:$A$20,X$5)=0),IF($G31="선택","□","■"),"")</f>
        <v/>
      </c>
      <c r="Y31" s="37" t="str">
        <f aca="false">IF(AND(Y$5&gt;=$K31,Y$5&lt;=$L31,COUNTIF(휴일!$A$2:$A$20,Y$5)=0),IF($G31="선택","□","■"),"")</f>
        <v>■</v>
      </c>
      <c r="Z31" s="37" t="str">
        <f aca="false">IF(AND(Z$5&gt;=$K31,Z$5&lt;=$L31,COUNTIF(휴일!$A$2:$A$20,Z$5)=0),IF($G31="선택","□","■"),"")</f>
        <v/>
      </c>
      <c r="AA31" s="37" t="str">
        <f aca="false">IF(AND(AA$5&gt;=$K31,AA$5&lt;=$L31,COUNTIF(휴일!$A$2:$A$20,AA$5)=0),IF($G31="선택","□","■"),"")</f>
        <v/>
      </c>
      <c r="AB31" s="37" t="str">
        <f aca="false">IF(AND(AB$5&gt;=$K31,AB$5&lt;=$L31,COUNTIF(휴일!$A$2:$A$20,AB$5)=0),IF($G31="선택","□","■"),"")</f>
        <v/>
      </c>
      <c r="AC31" s="37" t="str">
        <f aca="false">IF(AND(AC$5&gt;=$K31,AC$5&lt;=$L31,COUNTIF(휴일!$A$2:$A$20,AC$5)=0),IF($G31="선택","□","■"),"")</f>
        <v/>
      </c>
      <c r="AD31" s="37" t="str">
        <f aca="false">IF(AND(AD$5&gt;=$K31,AD$5&lt;=$L31,COUNTIF(휴일!$A$2:$A$20,AD$5)=0),IF($G31="선택","□","■"),"")</f>
        <v/>
      </c>
      <c r="AE31" s="37" t="str">
        <f aca="false">IF(AND(AE$5&gt;=$K31,AE$5&lt;=$L31,COUNTIF(휴일!$A$2:$A$20,AE$5)=0),IF($G31="선택","□","■"),"")</f>
        <v/>
      </c>
      <c r="AF31" s="37" t="str">
        <f aca="false">IF(AND(AF$5&gt;=$K31,AF$5&lt;=$L31,COUNTIF(휴일!$A$2:$A$20,AF$5)=0),IF($G31="선택","□","■"),"")</f>
        <v/>
      </c>
    </row>
    <row r="32" customFormat="false" ht="30" hidden="false" customHeight="true" outlineLevel="0" collapsed="false">
      <c r="B32" s="23"/>
      <c r="C32" s="24"/>
      <c r="D32" s="25"/>
      <c r="E32" s="26" t="s">
        <v>118</v>
      </c>
      <c r="F32" s="27" t="s">
        <v>122</v>
      </c>
      <c r="G32" s="28" t="s">
        <v>30</v>
      </c>
      <c r="H32" s="28" t="s">
        <v>31</v>
      </c>
      <c r="I32" s="29" t="s">
        <v>123</v>
      </c>
      <c r="J32" s="30" t="s">
        <v>124</v>
      </c>
      <c r="K32" s="31" t="n">
        <v>46324</v>
      </c>
      <c r="L32" s="31" t="n">
        <v>46324</v>
      </c>
      <c r="M32" s="31"/>
      <c r="N32" s="31"/>
      <c r="O32" s="32" t="n">
        <f aca="false">IF(OR(K32="",L32=""),0,L32-K32+1-COUNTIFS(휴일!$A$2:$A$20,"&gt;="&amp;K32,휴일!$A$2:$A$20,"&lt;="&amp;L32))</f>
        <v>1</v>
      </c>
      <c r="P32" s="32" t="n">
        <f aca="false">IF(OR(M32="",N32=""),0,N32-M32+1-COUNTIFS(휴일!$A$2:$A$20,"&gt;="&amp;M32,휴일!$A$2:$A$20,"&lt;="&amp;N32))</f>
        <v>0</v>
      </c>
      <c r="Q32" s="33" t="n">
        <f aca="false">IF(O32=0,0,MAX(0,MIN(O32,$L$1-K32+1-COUNTIFS(휴일!$A$2:$A$20,"&gt;="&amp;K32,휴일!$A$2:$A$20,"&lt;="&amp;$L$1))))</f>
        <v>0</v>
      </c>
      <c r="R32" s="33" t="n">
        <f aca="false">IF(P32=0,0,MIN(P32,O32))</f>
        <v>0</v>
      </c>
      <c r="S32" s="34" t="n">
        <f aca="false">IFERROR(Q32/O32,0)</f>
        <v>0</v>
      </c>
      <c r="T32" s="34" t="n">
        <f aca="false">IFERROR(R32/O32,0)</f>
        <v>0</v>
      </c>
      <c r="U32" s="35" t="n">
        <f aca="false">IF(OR(O32=0,R32=0),0,MIN(1,R32/O32))</f>
        <v>0</v>
      </c>
      <c r="V32" s="36" t="n">
        <f aca="false">U32-S32</f>
        <v>0</v>
      </c>
      <c r="W32" s="37" t="str">
        <f aca="false">IF(AND(W$5&gt;=$K32,W$5&lt;=$L32,COUNTIF(휴일!$A$2:$A$20,W$5)=0),IF($G32="선택","□","■"),"")</f>
        <v/>
      </c>
      <c r="X32" s="37" t="str">
        <f aca="false">IF(AND(X$5&gt;=$K32,X$5&lt;=$L32,COUNTIF(휴일!$A$2:$A$20,X$5)=0),IF($G32="선택","□","■"),"")</f>
        <v/>
      </c>
      <c r="Y32" s="37" t="str">
        <f aca="false">IF(AND(Y$5&gt;=$K32,Y$5&lt;=$L32,COUNTIF(휴일!$A$2:$A$20,Y$5)=0),IF($G32="선택","□","■"),"")</f>
        <v>■</v>
      </c>
      <c r="Z32" s="37" t="str">
        <f aca="false">IF(AND(Z$5&gt;=$K32,Z$5&lt;=$L32,COUNTIF(휴일!$A$2:$A$20,Z$5)=0),IF($G32="선택","□","■"),"")</f>
        <v/>
      </c>
      <c r="AA32" s="37" t="str">
        <f aca="false">IF(AND(AA$5&gt;=$K32,AA$5&lt;=$L32,COUNTIF(휴일!$A$2:$A$20,AA$5)=0),IF($G32="선택","□","■"),"")</f>
        <v/>
      </c>
      <c r="AB32" s="37" t="str">
        <f aca="false">IF(AND(AB$5&gt;=$K32,AB$5&lt;=$L32,COUNTIF(휴일!$A$2:$A$20,AB$5)=0),IF($G32="선택","□","■"),"")</f>
        <v/>
      </c>
      <c r="AC32" s="37" t="str">
        <f aca="false">IF(AND(AC$5&gt;=$K32,AC$5&lt;=$L32,COUNTIF(휴일!$A$2:$A$20,AC$5)=0),IF($G32="선택","□","■"),"")</f>
        <v/>
      </c>
      <c r="AD32" s="37" t="str">
        <f aca="false">IF(AND(AD$5&gt;=$K32,AD$5&lt;=$L32,COUNTIF(휴일!$A$2:$A$20,AD$5)=0),IF($G32="선택","□","■"),"")</f>
        <v/>
      </c>
      <c r="AE32" s="37" t="str">
        <f aca="false">IF(AND(AE$5&gt;=$K32,AE$5&lt;=$L32,COUNTIF(휴일!$A$2:$A$20,AE$5)=0),IF($G32="선택","□","■"),"")</f>
        <v/>
      </c>
      <c r="AF32" s="37" t="str">
        <f aca="false">IF(AND(AF$5&gt;=$K32,AF$5&lt;=$L32,COUNTIF(휴일!$A$2:$A$20,AF$5)=0),IF($G32="선택","□","■"),"")</f>
        <v/>
      </c>
    </row>
    <row r="33" customFormat="false" ht="30" hidden="false" customHeight="true" outlineLevel="0" collapsed="false">
      <c r="B33" s="23"/>
      <c r="C33" s="24"/>
      <c r="D33" s="25"/>
      <c r="E33" s="26" t="s">
        <v>125</v>
      </c>
      <c r="F33" s="27" t="s">
        <v>126</v>
      </c>
      <c r="G33" s="28" t="s">
        <v>30</v>
      </c>
      <c r="H33" s="28" t="s">
        <v>31</v>
      </c>
      <c r="I33" s="29" t="s">
        <v>127</v>
      </c>
      <c r="J33" s="30" t="s">
        <v>128</v>
      </c>
      <c r="K33" s="31" t="n">
        <v>46324</v>
      </c>
      <c r="L33" s="31" t="n">
        <v>46324</v>
      </c>
      <c r="M33" s="31"/>
      <c r="N33" s="31"/>
      <c r="O33" s="32" t="n">
        <f aca="false">IF(OR(K33="",L33=""),0,L33-K33+1-COUNTIFS(휴일!$A$2:$A$20,"&gt;="&amp;K33,휴일!$A$2:$A$20,"&lt;="&amp;L33))</f>
        <v>1</v>
      </c>
      <c r="P33" s="32" t="n">
        <f aca="false">IF(OR(M33="",N33=""),0,N33-M33+1-COUNTIFS(휴일!$A$2:$A$20,"&gt;="&amp;M33,휴일!$A$2:$A$20,"&lt;="&amp;N33))</f>
        <v>0</v>
      </c>
      <c r="Q33" s="33" t="n">
        <f aca="false">IF(O33=0,0,MAX(0,MIN(O33,$L$1-K33+1-COUNTIFS(휴일!$A$2:$A$20,"&gt;="&amp;K33,휴일!$A$2:$A$20,"&lt;="&amp;$L$1))))</f>
        <v>0</v>
      </c>
      <c r="R33" s="33" t="n">
        <f aca="false">IF(P33=0,0,MIN(P33,O33))</f>
        <v>0</v>
      </c>
      <c r="S33" s="34" t="n">
        <f aca="false">IFERROR(Q33/O33,0)</f>
        <v>0</v>
      </c>
      <c r="T33" s="34" t="n">
        <f aca="false">IFERROR(R33/O33,0)</f>
        <v>0</v>
      </c>
      <c r="U33" s="35" t="n">
        <f aca="false">IF(OR(O33=0,R33=0),0,MIN(1,R33/O33))</f>
        <v>0</v>
      </c>
      <c r="V33" s="36" t="n">
        <f aca="false">U33-S33</f>
        <v>0</v>
      </c>
      <c r="W33" s="37" t="str">
        <f aca="false">IF(AND(W$5&gt;=$K33,W$5&lt;=$L33,COUNTIF(휴일!$A$2:$A$20,W$5)=0),IF($G33="선택","□","■"),"")</f>
        <v/>
      </c>
      <c r="X33" s="37" t="str">
        <f aca="false">IF(AND(X$5&gt;=$K33,X$5&lt;=$L33,COUNTIF(휴일!$A$2:$A$20,X$5)=0),IF($G33="선택","□","■"),"")</f>
        <v/>
      </c>
      <c r="Y33" s="37" t="str">
        <f aca="false">IF(AND(Y$5&gt;=$K33,Y$5&lt;=$L33,COUNTIF(휴일!$A$2:$A$20,Y$5)=0),IF($G33="선택","□","■"),"")</f>
        <v>■</v>
      </c>
      <c r="Z33" s="37" t="str">
        <f aca="false">IF(AND(Z$5&gt;=$K33,Z$5&lt;=$L33,COUNTIF(휴일!$A$2:$A$20,Z$5)=0),IF($G33="선택","□","■"),"")</f>
        <v/>
      </c>
      <c r="AA33" s="37" t="str">
        <f aca="false">IF(AND(AA$5&gt;=$K33,AA$5&lt;=$L33,COUNTIF(휴일!$A$2:$A$20,AA$5)=0),IF($G33="선택","□","■"),"")</f>
        <v/>
      </c>
      <c r="AB33" s="37" t="str">
        <f aca="false">IF(AND(AB$5&gt;=$K33,AB$5&lt;=$L33,COUNTIF(휴일!$A$2:$A$20,AB$5)=0),IF($G33="선택","□","■"),"")</f>
        <v/>
      </c>
      <c r="AC33" s="37" t="str">
        <f aca="false">IF(AND(AC$5&gt;=$K33,AC$5&lt;=$L33,COUNTIF(휴일!$A$2:$A$20,AC$5)=0),IF($G33="선택","□","■"),"")</f>
        <v/>
      </c>
      <c r="AD33" s="37" t="str">
        <f aca="false">IF(AND(AD$5&gt;=$K33,AD$5&lt;=$L33,COUNTIF(휴일!$A$2:$A$20,AD$5)=0),IF($G33="선택","□","■"),"")</f>
        <v/>
      </c>
      <c r="AE33" s="37" t="str">
        <f aca="false">IF(AND(AE$5&gt;=$K33,AE$5&lt;=$L33,COUNTIF(휴일!$A$2:$A$20,AE$5)=0),IF($G33="선택","□","■"),"")</f>
        <v/>
      </c>
      <c r="AF33" s="37" t="str">
        <f aca="false">IF(AND(AF$5&gt;=$K33,AF$5&lt;=$L33,COUNTIF(휴일!$A$2:$A$20,AF$5)=0),IF($G33="선택","□","■"),"")</f>
        <v/>
      </c>
    </row>
    <row r="34" customFormat="false" ht="30" hidden="false" customHeight="true" outlineLevel="0" collapsed="false">
      <c r="B34" s="23"/>
      <c r="C34" s="24"/>
      <c r="D34" s="25"/>
      <c r="E34" s="26" t="s">
        <v>129</v>
      </c>
      <c r="F34" s="27" t="s">
        <v>130</v>
      </c>
      <c r="G34" s="28" t="s">
        <v>30</v>
      </c>
      <c r="H34" s="28" t="s">
        <v>31</v>
      </c>
      <c r="I34" s="29" t="s">
        <v>131</v>
      </c>
      <c r="J34" s="30" t="s">
        <v>132</v>
      </c>
      <c r="K34" s="31" t="n">
        <v>46324</v>
      </c>
      <c r="L34" s="31" t="n">
        <v>46324</v>
      </c>
      <c r="M34" s="31"/>
      <c r="N34" s="31"/>
      <c r="O34" s="32" t="n">
        <f aca="false">IF(OR(K34="",L34=""),0,L34-K34+1-COUNTIFS(휴일!$A$2:$A$20,"&gt;="&amp;K34,휴일!$A$2:$A$20,"&lt;="&amp;L34))</f>
        <v>1</v>
      </c>
      <c r="P34" s="32" t="n">
        <f aca="false">IF(OR(M34="",N34=""),0,N34-M34+1-COUNTIFS(휴일!$A$2:$A$20,"&gt;="&amp;M34,휴일!$A$2:$A$20,"&lt;="&amp;N34))</f>
        <v>0</v>
      </c>
      <c r="Q34" s="33" t="n">
        <f aca="false">IF(O34=0,0,MAX(0,MIN(O34,$L$1-K34+1-COUNTIFS(휴일!$A$2:$A$20,"&gt;="&amp;K34,휴일!$A$2:$A$20,"&lt;="&amp;$L$1))))</f>
        <v>0</v>
      </c>
      <c r="R34" s="33" t="n">
        <f aca="false">IF(P34=0,0,MIN(P34,O34))</f>
        <v>0</v>
      </c>
      <c r="S34" s="34" t="n">
        <f aca="false">IFERROR(Q34/O34,0)</f>
        <v>0</v>
      </c>
      <c r="T34" s="34" t="n">
        <f aca="false">IFERROR(R34/O34,0)</f>
        <v>0</v>
      </c>
      <c r="U34" s="35" t="n">
        <f aca="false">IF(OR(O34=0,R34=0),0,MIN(1,R34/O34))</f>
        <v>0</v>
      </c>
      <c r="V34" s="36" t="n">
        <f aca="false">U34-S34</f>
        <v>0</v>
      </c>
      <c r="W34" s="37" t="str">
        <f aca="false">IF(AND(W$5&gt;=$K34,W$5&lt;=$L34,COUNTIF(휴일!$A$2:$A$20,W$5)=0),IF($G34="선택","□","■"),"")</f>
        <v/>
      </c>
      <c r="X34" s="37" t="str">
        <f aca="false">IF(AND(X$5&gt;=$K34,X$5&lt;=$L34,COUNTIF(휴일!$A$2:$A$20,X$5)=0),IF($G34="선택","□","■"),"")</f>
        <v/>
      </c>
      <c r="Y34" s="37" t="str">
        <f aca="false">IF(AND(Y$5&gt;=$K34,Y$5&lt;=$L34,COUNTIF(휴일!$A$2:$A$20,Y$5)=0),IF($G34="선택","□","■"),"")</f>
        <v>■</v>
      </c>
      <c r="Z34" s="37" t="str">
        <f aca="false">IF(AND(Z$5&gt;=$K34,Z$5&lt;=$L34,COUNTIF(휴일!$A$2:$A$20,Z$5)=0),IF($G34="선택","□","■"),"")</f>
        <v/>
      </c>
      <c r="AA34" s="37" t="str">
        <f aca="false">IF(AND(AA$5&gt;=$K34,AA$5&lt;=$L34,COUNTIF(휴일!$A$2:$A$20,AA$5)=0),IF($G34="선택","□","■"),"")</f>
        <v/>
      </c>
      <c r="AB34" s="37" t="str">
        <f aca="false">IF(AND(AB$5&gt;=$K34,AB$5&lt;=$L34,COUNTIF(휴일!$A$2:$A$20,AB$5)=0),IF($G34="선택","□","■"),"")</f>
        <v/>
      </c>
      <c r="AC34" s="37" t="str">
        <f aca="false">IF(AND(AC$5&gt;=$K34,AC$5&lt;=$L34,COUNTIF(휴일!$A$2:$A$20,AC$5)=0),IF($G34="선택","□","■"),"")</f>
        <v/>
      </c>
      <c r="AD34" s="37" t="str">
        <f aca="false">IF(AND(AD$5&gt;=$K34,AD$5&lt;=$L34,COUNTIF(휴일!$A$2:$A$20,AD$5)=0),IF($G34="선택","□","■"),"")</f>
        <v/>
      </c>
      <c r="AE34" s="37" t="str">
        <f aca="false">IF(AND(AE$5&gt;=$K34,AE$5&lt;=$L34,COUNTIF(휴일!$A$2:$A$20,AE$5)=0),IF($G34="선택","□","■"),"")</f>
        <v/>
      </c>
      <c r="AF34" s="37" t="str">
        <f aca="false">IF(AND(AF$5&gt;=$K34,AF$5&lt;=$L34,COUNTIF(휴일!$A$2:$A$20,AF$5)=0),IF($G34="선택","□","■"),"")</f>
        <v/>
      </c>
    </row>
    <row r="35" customFormat="false" ht="30" hidden="false" customHeight="true" outlineLevel="0" collapsed="false">
      <c r="B35" s="23"/>
      <c r="C35" s="24"/>
      <c r="D35" s="25"/>
      <c r="E35" s="26" t="s">
        <v>133</v>
      </c>
      <c r="F35" s="27" t="s">
        <v>134</v>
      </c>
      <c r="G35" s="28" t="s">
        <v>30</v>
      </c>
      <c r="H35" s="28" t="s">
        <v>31</v>
      </c>
      <c r="I35" s="29" t="s">
        <v>135</v>
      </c>
      <c r="J35" s="30" t="s">
        <v>136</v>
      </c>
      <c r="K35" s="31" t="n">
        <v>46324</v>
      </c>
      <c r="L35" s="31" t="n">
        <v>46324</v>
      </c>
      <c r="M35" s="31"/>
      <c r="N35" s="31"/>
      <c r="O35" s="32" t="n">
        <f aca="false">IF(OR(K35="",L35=""),0,L35-K35+1-COUNTIFS(휴일!$A$2:$A$20,"&gt;="&amp;K35,휴일!$A$2:$A$20,"&lt;="&amp;L35))</f>
        <v>1</v>
      </c>
      <c r="P35" s="32" t="n">
        <f aca="false">IF(OR(M35="",N35=""),0,N35-M35+1-COUNTIFS(휴일!$A$2:$A$20,"&gt;="&amp;M35,휴일!$A$2:$A$20,"&lt;="&amp;N35))</f>
        <v>0</v>
      </c>
      <c r="Q35" s="33" t="n">
        <f aca="false">IF(O35=0,0,MAX(0,MIN(O35,$L$1-K35+1-COUNTIFS(휴일!$A$2:$A$20,"&gt;="&amp;K35,휴일!$A$2:$A$20,"&lt;="&amp;$L$1))))</f>
        <v>0</v>
      </c>
      <c r="R35" s="33" t="n">
        <f aca="false">IF(P35=0,0,MIN(P35,O35))</f>
        <v>0</v>
      </c>
      <c r="S35" s="34" t="n">
        <f aca="false">IFERROR(Q35/O35,0)</f>
        <v>0</v>
      </c>
      <c r="T35" s="34" t="n">
        <f aca="false">IFERROR(R35/O35,0)</f>
        <v>0</v>
      </c>
      <c r="U35" s="35" t="n">
        <f aca="false">IF(OR(O35=0,R35=0),0,MIN(1,R35/O35))</f>
        <v>0</v>
      </c>
      <c r="V35" s="36" t="n">
        <f aca="false">U35-S35</f>
        <v>0</v>
      </c>
      <c r="W35" s="37" t="str">
        <f aca="false">IF(AND(W$5&gt;=$K35,W$5&lt;=$L35,COUNTIF(휴일!$A$2:$A$20,W$5)=0),IF($G35="선택","□","■"),"")</f>
        <v/>
      </c>
      <c r="X35" s="37" t="str">
        <f aca="false">IF(AND(X$5&gt;=$K35,X$5&lt;=$L35,COUNTIF(휴일!$A$2:$A$20,X$5)=0),IF($G35="선택","□","■"),"")</f>
        <v/>
      </c>
      <c r="Y35" s="37" t="str">
        <f aca="false">IF(AND(Y$5&gt;=$K35,Y$5&lt;=$L35,COUNTIF(휴일!$A$2:$A$20,Y$5)=0),IF($G35="선택","□","■"),"")</f>
        <v>■</v>
      </c>
      <c r="Z35" s="37" t="str">
        <f aca="false">IF(AND(Z$5&gt;=$K35,Z$5&lt;=$L35,COUNTIF(휴일!$A$2:$A$20,Z$5)=0),IF($G35="선택","□","■"),"")</f>
        <v/>
      </c>
      <c r="AA35" s="37" t="str">
        <f aca="false">IF(AND(AA$5&gt;=$K35,AA$5&lt;=$L35,COUNTIF(휴일!$A$2:$A$20,AA$5)=0),IF($G35="선택","□","■"),"")</f>
        <v/>
      </c>
      <c r="AB35" s="37" t="str">
        <f aca="false">IF(AND(AB$5&gt;=$K35,AB$5&lt;=$L35,COUNTIF(휴일!$A$2:$A$20,AB$5)=0),IF($G35="선택","□","■"),"")</f>
        <v/>
      </c>
      <c r="AC35" s="37" t="str">
        <f aca="false">IF(AND(AC$5&gt;=$K35,AC$5&lt;=$L35,COUNTIF(휴일!$A$2:$A$20,AC$5)=0),IF($G35="선택","□","■"),"")</f>
        <v/>
      </c>
      <c r="AD35" s="37" t="str">
        <f aca="false">IF(AND(AD$5&gt;=$K35,AD$5&lt;=$L35,COUNTIF(휴일!$A$2:$A$20,AD$5)=0),IF($G35="선택","□","■"),"")</f>
        <v/>
      </c>
      <c r="AE35" s="37" t="str">
        <f aca="false">IF(AND(AE$5&gt;=$K35,AE$5&lt;=$L35,COUNTIF(휴일!$A$2:$A$20,AE$5)=0),IF($G35="선택","□","■"),"")</f>
        <v/>
      </c>
      <c r="AF35" s="37" t="str">
        <f aca="false">IF(AND(AF$5&gt;=$K35,AF$5&lt;=$L35,COUNTIF(휴일!$A$2:$A$20,AF$5)=0),IF($G35="선택","□","■"),"")</f>
        <v/>
      </c>
    </row>
    <row r="36" customFormat="false" ht="30" hidden="false" customHeight="true" outlineLevel="0" collapsed="false">
      <c r="B36" s="23"/>
      <c r="C36" s="24"/>
      <c r="D36" s="25"/>
      <c r="E36" s="26" t="s">
        <v>137</v>
      </c>
      <c r="F36" s="27" t="s">
        <v>138</v>
      </c>
      <c r="G36" s="28" t="s">
        <v>30</v>
      </c>
      <c r="H36" s="28" t="s">
        <v>31</v>
      </c>
      <c r="I36" s="29" t="s">
        <v>139</v>
      </c>
      <c r="J36" s="30" t="s">
        <v>140</v>
      </c>
      <c r="K36" s="31" t="n">
        <v>46323</v>
      </c>
      <c r="L36" s="31" t="n">
        <v>46323</v>
      </c>
      <c r="M36" s="31"/>
      <c r="N36" s="31"/>
      <c r="O36" s="32" t="n">
        <f aca="false">IF(OR(K36="",L36=""),0,L36-K36+1-COUNTIFS(휴일!$A$2:$A$20,"&gt;="&amp;K36,휴일!$A$2:$A$20,"&lt;="&amp;L36))</f>
        <v>1</v>
      </c>
      <c r="P36" s="32" t="n">
        <f aca="false">IF(OR(M36="",N36=""),0,N36-M36+1-COUNTIFS(휴일!$A$2:$A$20,"&gt;="&amp;M36,휴일!$A$2:$A$20,"&lt;="&amp;N36))</f>
        <v>0</v>
      </c>
      <c r="Q36" s="33" t="n">
        <f aca="false">IF(O36=0,0,MAX(0,MIN(O36,$L$1-K36+1-COUNTIFS(휴일!$A$2:$A$20,"&gt;="&amp;K36,휴일!$A$2:$A$20,"&lt;="&amp;$L$1))))</f>
        <v>0</v>
      </c>
      <c r="R36" s="33" t="n">
        <f aca="false">IF(P36=0,0,MIN(P36,O36))</f>
        <v>0</v>
      </c>
      <c r="S36" s="34" t="n">
        <f aca="false">IFERROR(Q36/O36,0)</f>
        <v>0</v>
      </c>
      <c r="T36" s="34" t="n">
        <f aca="false">IFERROR(R36/O36,0)</f>
        <v>0</v>
      </c>
      <c r="U36" s="35" t="n">
        <f aca="false">IF(OR(O36=0,R36=0),0,MIN(1,R36/O36))</f>
        <v>0</v>
      </c>
      <c r="V36" s="36" t="n">
        <f aca="false">U36-S36</f>
        <v>0</v>
      </c>
      <c r="W36" s="37" t="str">
        <f aca="false">IF(AND(W$5&gt;=$K36,W$5&lt;=$L36,COUNTIF(휴일!$A$2:$A$20,W$5)=0),IF($G36="선택","□","■"),"")</f>
        <v/>
      </c>
      <c r="X36" s="37" t="str">
        <f aca="false">IF(AND(X$5&gt;=$K36,X$5&lt;=$L36,COUNTIF(휴일!$A$2:$A$20,X$5)=0),IF($G36="선택","□","■"),"")</f>
        <v>■</v>
      </c>
      <c r="Y36" s="37" t="str">
        <f aca="false">IF(AND(Y$5&gt;=$K36,Y$5&lt;=$L36,COUNTIF(휴일!$A$2:$A$20,Y$5)=0),IF($G36="선택","□","■"),"")</f>
        <v/>
      </c>
      <c r="Z36" s="37" t="str">
        <f aca="false">IF(AND(Z$5&gt;=$K36,Z$5&lt;=$L36,COUNTIF(휴일!$A$2:$A$20,Z$5)=0),IF($G36="선택","□","■"),"")</f>
        <v/>
      </c>
      <c r="AA36" s="37" t="str">
        <f aca="false">IF(AND(AA$5&gt;=$K36,AA$5&lt;=$L36,COUNTIF(휴일!$A$2:$A$20,AA$5)=0),IF($G36="선택","□","■"),"")</f>
        <v/>
      </c>
      <c r="AB36" s="37" t="str">
        <f aca="false">IF(AND(AB$5&gt;=$K36,AB$5&lt;=$L36,COUNTIF(휴일!$A$2:$A$20,AB$5)=0),IF($G36="선택","□","■"),"")</f>
        <v/>
      </c>
      <c r="AC36" s="37" t="str">
        <f aca="false">IF(AND(AC$5&gt;=$K36,AC$5&lt;=$L36,COUNTIF(휴일!$A$2:$A$20,AC$5)=0),IF($G36="선택","□","■"),"")</f>
        <v/>
      </c>
      <c r="AD36" s="37" t="str">
        <f aca="false">IF(AND(AD$5&gt;=$K36,AD$5&lt;=$L36,COUNTIF(휴일!$A$2:$A$20,AD$5)=0),IF($G36="선택","□","■"),"")</f>
        <v/>
      </c>
      <c r="AE36" s="37" t="str">
        <f aca="false">IF(AND(AE$5&gt;=$K36,AE$5&lt;=$L36,COUNTIF(휴일!$A$2:$A$20,AE$5)=0),IF($G36="선택","□","■"),"")</f>
        <v/>
      </c>
      <c r="AF36" s="37" t="str">
        <f aca="false">IF(AND(AF$5&gt;=$K36,AF$5&lt;=$L36,COUNTIF(휴일!$A$2:$A$20,AF$5)=0),IF($G36="선택","□","■"),"")</f>
        <v/>
      </c>
    </row>
    <row r="37" customFormat="false" ht="30" hidden="false" customHeight="true" outlineLevel="0" collapsed="false">
      <c r="B37" s="23"/>
      <c r="C37" s="24"/>
      <c r="D37" s="25"/>
      <c r="E37" s="26" t="s">
        <v>141</v>
      </c>
      <c r="F37" s="27" t="s">
        <v>142</v>
      </c>
      <c r="G37" s="28" t="s">
        <v>30</v>
      </c>
      <c r="H37" s="28" t="s">
        <v>31</v>
      </c>
      <c r="I37" s="29" t="s">
        <v>143</v>
      </c>
      <c r="J37" s="30" t="s">
        <v>144</v>
      </c>
      <c r="K37" s="31" t="n">
        <v>46324</v>
      </c>
      <c r="L37" s="31" t="n">
        <v>46324</v>
      </c>
      <c r="M37" s="31"/>
      <c r="N37" s="31"/>
      <c r="O37" s="32" t="n">
        <f aca="false">IF(OR(K37="",L37=""),0,L37-K37+1-COUNTIFS(휴일!$A$2:$A$20,"&gt;="&amp;K37,휴일!$A$2:$A$20,"&lt;="&amp;L37))</f>
        <v>1</v>
      </c>
      <c r="P37" s="32" t="n">
        <f aca="false">IF(OR(M37="",N37=""),0,N37-M37+1-COUNTIFS(휴일!$A$2:$A$20,"&gt;="&amp;M37,휴일!$A$2:$A$20,"&lt;="&amp;N37))</f>
        <v>0</v>
      </c>
      <c r="Q37" s="33" t="n">
        <f aca="false">IF(O37=0,0,MAX(0,MIN(O37,$L$1-K37+1-COUNTIFS(휴일!$A$2:$A$20,"&gt;="&amp;K37,휴일!$A$2:$A$20,"&lt;="&amp;$L$1))))</f>
        <v>0</v>
      </c>
      <c r="R37" s="33" t="n">
        <f aca="false">IF(P37=0,0,MIN(P37,O37))</f>
        <v>0</v>
      </c>
      <c r="S37" s="34" t="n">
        <f aca="false">IFERROR(Q37/O37,0)</f>
        <v>0</v>
      </c>
      <c r="T37" s="34" t="n">
        <f aca="false">IFERROR(R37/O37,0)</f>
        <v>0</v>
      </c>
      <c r="U37" s="35" t="n">
        <f aca="false">IF(OR(O37=0,R37=0),0,MIN(1,R37/O37))</f>
        <v>0</v>
      </c>
      <c r="V37" s="36" t="n">
        <f aca="false">U37-S37</f>
        <v>0</v>
      </c>
      <c r="W37" s="37" t="str">
        <f aca="false">IF(AND(W$5&gt;=$K37,W$5&lt;=$L37,COUNTIF(휴일!$A$2:$A$20,W$5)=0),IF($G37="선택","□","■"),"")</f>
        <v/>
      </c>
      <c r="X37" s="37" t="str">
        <f aca="false">IF(AND(X$5&gt;=$K37,X$5&lt;=$L37,COUNTIF(휴일!$A$2:$A$20,X$5)=0),IF($G37="선택","□","■"),"")</f>
        <v/>
      </c>
      <c r="Y37" s="37" t="str">
        <f aca="false">IF(AND(Y$5&gt;=$K37,Y$5&lt;=$L37,COUNTIF(휴일!$A$2:$A$20,Y$5)=0),IF($G37="선택","□","■"),"")</f>
        <v>■</v>
      </c>
      <c r="Z37" s="37" t="str">
        <f aca="false">IF(AND(Z$5&gt;=$K37,Z$5&lt;=$L37,COUNTIF(휴일!$A$2:$A$20,Z$5)=0),IF($G37="선택","□","■"),"")</f>
        <v/>
      </c>
      <c r="AA37" s="37" t="str">
        <f aca="false">IF(AND(AA$5&gt;=$K37,AA$5&lt;=$L37,COUNTIF(휴일!$A$2:$A$20,AA$5)=0),IF($G37="선택","□","■"),"")</f>
        <v/>
      </c>
      <c r="AB37" s="37" t="str">
        <f aca="false">IF(AND(AB$5&gt;=$K37,AB$5&lt;=$L37,COUNTIF(휴일!$A$2:$A$20,AB$5)=0),IF($G37="선택","□","■"),"")</f>
        <v/>
      </c>
      <c r="AC37" s="37" t="str">
        <f aca="false">IF(AND(AC$5&gt;=$K37,AC$5&lt;=$L37,COUNTIF(휴일!$A$2:$A$20,AC$5)=0),IF($G37="선택","□","■"),"")</f>
        <v/>
      </c>
      <c r="AD37" s="37" t="str">
        <f aca="false">IF(AND(AD$5&gt;=$K37,AD$5&lt;=$L37,COUNTIF(휴일!$A$2:$A$20,AD$5)=0),IF($G37="선택","□","■"),"")</f>
        <v/>
      </c>
      <c r="AE37" s="37" t="str">
        <f aca="false">IF(AND(AE$5&gt;=$K37,AE$5&lt;=$L37,COUNTIF(휴일!$A$2:$A$20,AE$5)=0),IF($G37="선택","□","■"),"")</f>
        <v/>
      </c>
      <c r="AF37" s="37" t="str">
        <f aca="false">IF(AND(AF$5&gt;=$K37,AF$5&lt;=$L37,COUNTIF(휴일!$A$2:$A$20,AF$5)=0),IF($G37="선택","□","■"),"")</f>
        <v/>
      </c>
    </row>
    <row r="38" customFormat="false" ht="30" hidden="false" customHeight="true" outlineLevel="0" collapsed="false">
      <c r="B38" s="23"/>
      <c r="C38" s="24"/>
      <c r="D38" s="25"/>
      <c r="E38" s="26" t="s">
        <v>145</v>
      </c>
      <c r="F38" s="27" t="s">
        <v>146</v>
      </c>
      <c r="G38" s="28" t="s">
        <v>30</v>
      </c>
      <c r="H38" s="28" t="s">
        <v>31</v>
      </c>
      <c r="I38" s="29" t="s">
        <v>147</v>
      </c>
      <c r="J38" s="30" t="s">
        <v>148</v>
      </c>
      <c r="K38" s="31" t="n">
        <v>46324</v>
      </c>
      <c r="L38" s="31" t="n">
        <v>46324</v>
      </c>
      <c r="M38" s="31"/>
      <c r="N38" s="31"/>
      <c r="O38" s="32" t="n">
        <f aca="false">IF(OR(K38="",L38=""),0,L38-K38+1-COUNTIFS(휴일!$A$2:$A$20,"&gt;="&amp;K38,휴일!$A$2:$A$20,"&lt;="&amp;L38))</f>
        <v>1</v>
      </c>
      <c r="P38" s="32" t="n">
        <f aca="false">IF(OR(M38="",N38=""),0,N38-M38+1-COUNTIFS(휴일!$A$2:$A$20,"&gt;="&amp;M38,휴일!$A$2:$A$20,"&lt;="&amp;N38))</f>
        <v>0</v>
      </c>
      <c r="Q38" s="33" t="n">
        <f aca="false">IF(O38=0,0,MAX(0,MIN(O38,$L$1-K38+1-COUNTIFS(휴일!$A$2:$A$20,"&gt;="&amp;K38,휴일!$A$2:$A$20,"&lt;="&amp;$L$1))))</f>
        <v>0</v>
      </c>
      <c r="R38" s="33" t="n">
        <f aca="false">IF(P38=0,0,MIN(P38,O38))</f>
        <v>0</v>
      </c>
      <c r="S38" s="34" t="n">
        <f aca="false">IFERROR(Q38/O38,0)</f>
        <v>0</v>
      </c>
      <c r="T38" s="34" t="n">
        <f aca="false">IFERROR(R38/O38,0)</f>
        <v>0</v>
      </c>
      <c r="U38" s="35" t="n">
        <f aca="false">IF(OR(O38=0,R38=0),0,MIN(1,R38/O38))</f>
        <v>0</v>
      </c>
      <c r="V38" s="36" t="n">
        <f aca="false">U38-S38</f>
        <v>0</v>
      </c>
      <c r="W38" s="37" t="str">
        <f aca="false">IF(AND(W$5&gt;=$K38,W$5&lt;=$L38,COUNTIF(휴일!$A$2:$A$20,W$5)=0),IF($G38="선택","□","■"),"")</f>
        <v/>
      </c>
      <c r="X38" s="37" t="str">
        <f aca="false">IF(AND(X$5&gt;=$K38,X$5&lt;=$L38,COUNTIF(휴일!$A$2:$A$20,X$5)=0),IF($G38="선택","□","■"),"")</f>
        <v/>
      </c>
      <c r="Y38" s="37" t="str">
        <f aca="false">IF(AND(Y$5&gt;=$K38,Y$5&lt;=$L38,COUNTIF(휴일!$A$2:$A$20,Y$5)=0),IF($G38="선택","□","■"),"")</f>
        <v>■</v>
      </c>
      <c r="Z38" s="37" t="str">
        <f aca="false">IF(AND(Z$5&gt;=$K38,Z$5&lt;=$L38,COUNTIF(휴일!$A$2:$A$20,Z$5)=0),IF($G38="선택","□","■"),"")</f>
        <v/>
      </c>
      <c r="AA38" s="37" t="str">
        <f aca="false">IF(AND(AA$5&gt;=$K38,AA$5&lt;=$L38,COUNTIF(휴일!$A$2:$A$20,AA$5)=0),IF($G38="선택","□","■"),"")</f>
        <v/>
      </c>
      <c r="AB38" s="37" t="str">
        <f aca="false">IF(AND(AB$5&gt;=$K38,AB$5&lt;=$L38,COUNTIF(휴일!$A$2:$A$20,AB$5)=0),IF($G38="선택","□","■"),"")</f>
        <v/>
      </c>
      <c r="AC38" s="37" t="str">
        <f aca="false">IF(AND(AC$5&gt;=$K38,AC$5&lt;=$L38,COUNTIF(휴일!$A$2:$A$20,AC$5)=0),IF($G38="선택","□","■"),"")</f>
        <v/>
      </c>
      <c r="AD38" s="37" t="str">
        <f aca="false">IF(AND(AD$5&gt;=$K38,AD$5&lt;=$L38,COUNTIF(휴일!$A$2:$A$20,AD$5)=0),IF($G38="선택","□","■"),"")</f>
        <v/>
      </c>
      <c r="AE38" s="37" t="str">
        <f aca="false">IF(AND(AE$5&gt;=$K38,AE$5&lt;=$L38,COUNTIF(휴일!$A$2:$A$20,AE$5)=0),IF($G38="선택","□","■"),"")</f>
        <v/>
      </c>
      <c r="AF38" s="37" t="str">
        <f aca="false">IF(AND(AF$5&gt;=$K38,AF$5&lt;=$L38,COUNTIF(휴일!$A$2:$A$20,AF$5)=0),IF($G38="선택","□","■"),"")</f>
        <v/>
      </c>
    </row>
    <row r="39" customFormat="false" ht="30" hidden="false" customHeight="true" outlineLevel="0" collapsed="false">
      <c r="B39" s="23"/>
      <c r="C39" s="24"/>
      <c r="D39" s="25"/>
      <c r="E39" s="26" t="s">
        <v>145</v>
      </c>
      <c r="F39" s="27" t="s">
        <v>149</v>
      </c>
      <c r="G39" s="28" t="s">
        <v>30</v>
      </c>
      <c r="H39" s="28" t="s">
        <v>31</v>
      </c>
      <c r="I39" s="29" t="s">
        <v>150</v>
      </c>
      <c r="J39" s="30" t="s">
        <v>151</v>
      </c>
      <c r="K39" s="31" t="n">
        <v>46324</v>
      </c>
      <c r="L39" s="31" t="n">
        <v>46324</v>
      </c>
      <c r="M39" s="31"/>
      <c r="N39" s="31"/>
      <c r="O39" s="32" t="n">
        <f aca="false">IF(OR(K39="",L39=""),0,L39-K39+1-COUNTIFS(휴일!$A$2:$A$20,"&gt;="&amp;K39,휴일!$A$2:$A$20,"&lt;="&amp;L39))</f>
        <v>1</v>
      </c>
      <c r="P39" s="32" t="n">
        <f aca="false">IF(OR(M39="",N39=""),0,N39-M39+1-COUNTIFS(휴일!$A$2:$A$20,"&gt;="&amp;M39,휴일!$A$2:$A$20,"&lt;="&amp;N39))</f>
        <v>0</v>
      </c>
      <c r="Q39" s="33" t="n">
        <f aca="false">IF(O39=0,0,MAX(0,MIN(O39,$L$1-K39+1-COUNTIFS(휴일!$A$2:$A$20,"&gt;="&amp;K39,휴일!$A$2:$A$20,"&lt;="&amp;$L$1))))</f>
        <v>0</v>
      </c>
      <c r="R39" s="33" t="n">
        <f aca="false">IF(P39=0,0,MIN(P39,O39))</f>
        <v>0</v>
      </c>
      <c r="S39" s="34" t="n">
        <f aca="false">IFERROR(Q39/O39,0)</f>
        <v>0</v>
      </c>
      <c r="T39" s="34" t="n">
        <f aca="false">IFERROR(R39/O39,0)</f>
        <v>0</v>
      </c>
      <c r="U39" s="35" t="n">
        <f aca="false">IF(OR(O39=0,R39=0),0,MIN(1,R39/O39))</f>
        <v>0</v>
      </c>
      <c r="V39" s="36" t="n">
        <f aca="false">U39-S39</f>
        <v>0</v>
      </c>
      <c r="W39" s="37" t="str">
        <f aca="false">IF(AND(W$5&gt;=$K39,W$5&lt;=$L39,COUNTIF(휴일!$A$2:$A$20,W$5)=0),IF($G39="선택","□","■"),"")</f>
        <v/>
      </c>
      <c r="X39" s="37" t="str">
        <f aca="false">IF(AND(X$5&gt;=$K39,X$5&lt;=$L39,COUNTIF(휴일!$A$2:$A$20,X$5)=0),IF($G39="선택","□","■"),"")</f>
        <v/>
      </c>
      <c r="Y39" s="37" t="str">
        <f aca="false">IF(AND(Y$5&gt;=$K39,Y$5&lt;=$L39,COUNTIF(휴일!$A$2:$A$20,Y$5)=0),IF($G39="선택","□","■"),"")</f>
        <v>■</v>
      </c>
      <c r="Z39" s="37" t="str">
        <f aca="false">IF(AND(Z$5&gt;=$K39,Z$5&lt;=$L39,COUNTIF(휴일!$A$2:$A$20,Z$5)=0),IF($G39="선택","□","■"),"")</f>
        <v/>
      </c>
      <c r="AA39" s="37" t="str">
        <f aca="false">IF(AND(AA$5&gt;=$K39,AA$5&lt;=$L39,COUNTIF(휴일!$A$2:$A$20,AA$5)=0),IF($G39="선택","□","■"),"")</f>
        <v/>
      </c>
      <c r="AB39" s="37" t="str">
        <f aca="false">IF(AND(AB$5&gt;=$K39,AB$5&lt;=$L39,COUNTIF(휴일!$A$2:$A$20,AB$5)=0),IF($G39="선택","□","■"),"")</f>
        <v/>
      </c>
      <c r="AC39" s="37" t="str">
        <f aca="false">IF(AND(AC$5&gt;=$K39,AC$5&lt;=$L39,COUNTIF(휴일!$A$2:$A$20,AC$5)=0),IF($G39="선택","□","■"),"")</f>
        <v/>
      </c>
      <c r="AD39" s="37" t="str">
        <f aca="false">IF(AND(AD$5&gt;=$K39,AD$5&lt;=$L39,COUNTIF(휴일!$A$2:$A$20,AD$5)=0),IF($G39="선택","□","■"),"")</f>
        <v/>
      </c>
      <c r="AE39" s="37" t="str">
        <f aca="false">IF(AND(AE$5&gt;=$K39,AE$5&lt;=$L39,COUNTIF(휴일!$A$2:$A$20,AE$5)=0),IF($G39="선택","□","■"),"")</f>
        <v/>
      </c>
      <c r="AF39" s="37" t="str">
        <f aca="false">IF(AND(AF$5&gt;=$K39,AF$5&lt;=$L39,COUNTIF(휴일!$A$2:$A$20,AF$5)=0),IF($G39="선택","□","■"),"")</f>
        <v/>
      </c>
    </row>
    <row r="40" customFormat="false" ht="30" hidden="false" customHeight="true" outlineLevel="0" collapsed="false">
      <c r="B40" s="23"/>
      <c r="C40" s="24"/>
      <c r="D40" s="25"/>
      <c r="E40" s="26" t="s">
        <v>37</v>
      </c>
      <c r="F40" s="27" t="s">
        <v>152</v>
      </c>
      <c r="G40" s="28" t="s">
        <v>30</v>
      </c>
      <c r="H40" s="28" t="s">
        <v>31</v>
      </c>
      <c r="I40" s="29" t="s">
        <v>153</v>
      </c>
      <c r="J40" s="30" t="s">
        <v>154</v>
      </c>
      <c r="K40" s="31" t="n">
        <v>46324</v>
      </c>
      <c r="L40" s="31" t="n">
        <v>46324</v>
      </c>
      <c r="M40" s="31"/>
      <c r="N40" s="31"/>
      <c r="O40" s="32" t="n">
        <f aca="false">IF(OR(K40="",L40=""),0,L40-K40+1-COUNTIFS(휴일!$A$2:$A$20,"&gt;="&amp;K40,휴일!$A$2:$A$20,"&lt;="&amp;L40))</f>
        <v>1</v>
      </c>
      <c r="P40" s="32" t="n">
        <f aca="false">IF(OR(M40="",N40=""),0,N40-M40+1-COUNTIFS(휴일!$A$2:$A$20,"&gt;="&amp;M40,휴일!$A$2:$A$20,"&lt;="&amp;N40))</f>
        <v>0</v>
      </c>
      <c r="Q40" s="33" t="n">
        <f aca="false">IF(O40=0,0,MAX(0,MIN(O40,$L$1-K40+1-COUNTIFS(휴일!$A$2:$A$20,"&gt;="&amp;K40,휴일!$A$2:$A$20,"&lt;="&amp;$L$1))))</f>
        <v>0</v>
      </c>
      <c r="R40" s="33" t="n">
        <f aca="false">IF(P40=0,0,MIN(P40,O40))</f>
        <v>0</v>
      </c>
      <c r="S40" s="34" t="n">
        <f aca="false">IFERROR(Q40/O40,0)</f>
        <v>0</v>
      </c>
      <c r="T40" s="34" t="n">
        <f aca="false">IFERROR(R40/O40,0)</f>
        <v>0</v>
      </c>
      <c r="U40" s="35" t="n">
        <f aca="false">IF(OR(O40=0,R40=0),0,MIN(1,R40/O40))</f>
        <v>0</v>
      </c>
      <c r="V40" s="36" t="n">
        <f aca="false">U40-S40</f>
        <v>0</v>
      </c>
      <c r="W40" s="37" t="str">
        <f aca="false">IF(AND(W$5&gt;=$K40,W$5&lt;=$L40,COUNTIF(휴일!$A$2:$A$20,W$5)=0),IF($G40="선택","□","■"),"")</f>
        <v/>
      </c>
      <c r="X40" s="37" t="str">
        <f aca="false">IF(AND(X$5&gt;=$K40,X$5&lt;=$L40,COUNTIF(휴일!$A$2:$A$20,X$5)=0),IF($G40="선택","□","■"),"")</f>
        <v/>
      </c>
      <c r="Y40" s="37" t="str">
        <f aca="false">IF(AND(Y$5&gt;=$K40,Y$5&lt;=$L40,COUNTIF(휴일!$A$2:$A$20,Y$5)=0),IF($G40="선택","□","■"),"")</f>
        <v>■</v>
      </c>
      <c r="Z40" s="37" t="str">
        <f aca="false">IF(AND(Z$5&gt;=$K40,Z$5&lt;=$L40,COUNTIF(휴일!$A$2:$A$20,Z$5)=0),IF($G40="선택","□","■"),"")</f>
        <v/>
      </c>
      <c r="AA40" s="37" t="str">
        <f aca="false">IF(AND(AA$5&gt;=$K40,AA$5&lt;=$L40,COUNTIF(휴일!$A$2:$A$20,AA$5)=0),IF($G40="선택","□","■"),"")</f>
        <v/>
      </c>
      <c r="AB40" s="37" t="str">
        <f aca="false">IF(AND(AB$5&gt;=$K40,AB$5&lt;=$L40,COUNTIF(휴일!$A$2:$A$20,AB$5)=0),IF($G40="선택","□","■"),"")</f>
        <v/>
      </c>
      <c r="AC40" s="37" t="str">
        <f aca="false">IF(AND(AC$5&gt;=$K40,AC$5&lt;=$L40,COUNTIF(휴일!$A$2:$A$20,AC$5)=0),IF($G40="선택","□","■"),"")</f>
        <v/>
      </c>
      <c r="AD40" s="37" t="str">
        <f aca="false">IF(AND(AD$5&gt;=$K40,AD$5&lt;=$L40,COUNTIF(휴일!$A$2:$A$20,AD$5)=0),IF($G40="선택","□","■"),"")</f>
        <v/>
      </c>
      <c r="AE40" s="37" t="str">
        <f aca="false">IF(AND(AE$5&gt;=$K40,AE$5&lt;=$L40,COUNTIF(휴일!$A$2:$A$20,AE$5)=0),IF($G40="선택","□","■"),"")</f>
        <v/>
      </c>
      <c r="AF40" s="37" t="str">
        <f aca="false">IF(AND(AF$5&gt;=$K40,AF$5&lt;=$L40,COUNTIF(휴일!$A$2:$A$20,AF$5)=0),IF($G40="선택","□","■"),"")</f>
        <v/>
      </c>
    </row>
    <row r="41" customFormat="false" ht="7.5" hidden="false" customHeight="true" outlineLevel="0" collapsed="false">
      <c r="B41" s="23"/>
      <c r="C41" s="24"/>
      <c r="D41" s="25"/>
      <c r="E41" s="26"/>
      <c r="F41" s="38"/>
      <c r="G41" s="28"/>
      <c r="H41" s="28"/>
      <c r="I41" s="28"/>
      <c r="J41" s="28"/>
      <c r="K41" s="31"/>
      <c r="L41" s="31"/>
      <c r="M41" s="31"/>
      <c r="N41" s="31"/>
      <c r="O41" s="32"/>
      <c r="P41" s="32"/>
      <c r="Q41" s="32"/>
      <c r="R41" s="32"/>
      <c r="S41" s="34"/>
      <c r="T41" s="34"/>
      <c r="U41" s="34"/>
      <c r="V41" s="34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 customFormat="false" ht="30" hidden="false" customHeight="true" outlineLevel="0" collapsed="false">
      <c r="B42" s="23" t="n">
        <v>3</v>
      </c>
      <c r="C42" s="24" t="n">
        <v>0.3</v>
      </c>
      <c r="D42" s="25" t="s">
        <v>155</v>
      </c>
      <c r="E42" s="26" t="s">
        <v>49</v>
      </c>
      <c r="F42" s="27" t="s">
        <v>156</v>
      </c>
      <c r="G42" s="28" t="s">
        <v>30</v>
      </c>
      <c r="H42" s="28" t="s">
        <v>31</v>
      </c>
      <c r="I42" s="29" t="s">
        <v>157</v>
      </c>
      <c r="J42" s="30" t="s">
        <v>158</v>
      </c>
      <c r="K42" s="31" t="n">
        <v>46325</v>
      </c>
      <c r="L42" s="31" t="n">
        <v>46325</v>
      </c>
      <c r="M42" s="31"/>
      <c r="N42" s="31"/>
      <c r="O42" s="32" t="n">
        <f aca="false">IF(OR(K42="",L42=""),0,L42-K42+1-COUNTIFS(휴일!$A$2:$A$20,"&gt;="&amp;K42,휴일!$A$2:$A$20,"&lt;="&amp;L42))</f>
        <v>1</v>
      </c>
      <c r="P42" s="32" t="n">
        <f aca="false">IF(OR(M42="",N42=""),0,N42-M42+1-COUNTIFS(휴일!$A$2:$A$20,"&gt;="&amp;M42,휴일!$A$2:$A$20,"&lt;="&amp;N42))</f>
        <v>0</v>
      </c>
      <c r="Q42" s="33" t="n">
        <f aca="false">IF(O42=0,0,MAX(0,MIN(O42,$L$1-K42+1-COUNTIFS(휴일!$A$2:$A$20,"&gt;="&amp;K42,휴일!$A$2:$A$20,"&lt;="&amp;$L$1))))</f>
        <v>0</v>
      </c>
      <c r="R42" s="33" t="n">
        <f aca="false">IF(P42=0,0,MIN(P42,O42))</f>
        <v>0</v>
      </c>
      <c r="S42" s="34" t="n">
        <f aca="false">IFERROR(Q42/O42,0)</f>
        <v>0</v>
      </c>
      <c r="T42" s="34" t="n">
        <f aca="false">IFERROR(R42/O42,0)</f>
        <v>0</v>
      </c>
      <c r="U42" s="35" t="n">
        <f aca="false">IF(OR(O42=0,R42=0),0,MIN(1,R42/O42))</f>
        <v>0</v>
      </c>
      <c r="V42" s="36" t="n">
        <f aca="false">U42-S42</f>
        <v>0</v>
      </c>
      <c r="W42" s="37" t="str">
        <f aca="false">IF(AND(W$5&gt;=$K42,W$5&lt;=$L42,COUNTIF(휴일!$A$2:$A$20,W$5)=0),IF($G42="선택","□","■"),"")</f>
        <v/>
      </c>
      <c r="X42" s="37" t="str">
        <f aca="false">IF(AND(X$5&gt;=$K42,X$5&lt;=$L42,COUNTIF(휴일!$A$2:$A$20,X$5)=0),IF($G42="선택","□","■"),"")</f>
        <v/>
      </c>
      <c r="Y42" s="37" t="str">
        <f aca="false">IF(AND(Y$5&gt;=$K42,Y$5&lt;=$L42,COUNTIF(휴일!$A$2:$A$20,Y$5)=0),IF($G42="선택","□","■"),"")</f>
        <v/>
      </c>
      <c r="Z42" s="37" t="str">
        <f aca="false">IF(AND(Z$5&gt;=$K42,Z$5&lt;=$L42,COUNTIF(휴일!$A$2:$A$20,Z$5)=0),IF($G42="선택","□","■"),"")</f>
        <v>■</v>
      </c>
      <c r="AA42" s="37" t="str">
        <f aca="false">IF(AND(AA$5&gt;=$K42,AA$5&lt;=$L42,COUNTIF(휴일!$A$2:$A$20,AA$5)=0),IF($G42="선택","□","■"),"")</f>
        <v/>
      </c>
      <c r="AB42" s="37" t="str">
        <f aca="false">IF(AND(AB$5&gt;=$K42,AB$5&lt;=$L42,COUNTIF(휴일!$A$2:$A$20,AB$5)=0),IF($G42="선택","□","■"),"")</f>
        <v/>
      </c>
      <c r="AC42" s="37" t="str">
        <f aca="false">IF(AND(AC$5&gt;=$K42,AC$5&lt;=$L42,COUNTIF(휴일!$A$2:$A$20,AC$5)=0),IF($G42="선택","□","■"),"")</f>
        <v/>
      </c>
      <c r="AD42" s="37" t="str">
        <f aca="false">IF(AND(AD$5&gt;=$K42,AD$5&lt;=$L42,COUNTIF(휴일!$A$2:$A$20,AD$5)=0),IF($G42="선택","□","■"),"")</f>
        <v/>
      </c>
      <c r="AE42" s="37" t="str">
        <f aca="false">IF(AND(AE$5&gt;=$K42,AE$5&lt;=$L42,COUNTIF(휴일!$A$2:$A$20,AE$5)=0),IF($G42="선택","□","■"),"")</f>
        <v/>
      </c>
      <c r="AF42" s="37" t="str">
        <f aca="false">IF(AND(AF$5&gt;=$K42,AF$5&lt;=$L42,COUNTIF(휴일!$A$2:$A$20,AF$5)=0),IF($G42="선택","□","■"),"")</f>
        <v/>
      </c>
    </row>
    <row r="43" customFormat="false" ht="30" hidden="false" customHeight="true" outlineLevel="0" collapsed="false">
      <c r="B43" s="23"/>
      <c r="C43" s="24"/>
      <c r="D43" s="25"/>
      <c r="E43" s="26" t="s">
        <v>159</v>
      </c>
      <c r="F43" s="27" t="s">
        <v>160</v>
      </c>
      <c r="G43" s="28" t="s">
        <v>30</v>
      </c>
      <c r="H43" s="28" t="s">
        <v>31</v>
      </c>
      <c r="I43" s="29" t="s">
        <v>161</v>
      </c>
      <c r="J43" s="30" t="s">
        <v>162</v>
      </c>
      <c r="K43" s="31" t="n">
        <v>46325</v>
      </c>
      <c r="L43" s="31" t="n">
        <v>46325</v>
      </c>
      <c r="M43" s="31"/>
      <c r="N43" s="31"/>
      <c r="O43" s="32" t="n">
        <f aca="false">IF(OR(K43="",L43=""),0,L43-K43+1-COUNTIFS(휴일!$A$2:$A$20,"&gt;="&amp;K43,휴일!$A$2:$A$20,"&lt;="&amp;L43))</f>
        <v>1</v>
      </c>
      <c r="P43" s="32" t="n">
        <f aca="false">IF(OR(M43="",N43=""),0,N43-M43+1-COUNTIFS(휴일!$A$2:$A$20,"&gt;="&amp;M43,휴일!$A$2:$A$20,"&lt;="&amp;N43))</f>
        <v>0</v>
      </c>
      <c r="Q43" s="33" t="n">
        <f aca="false">IF(O43=0,0,MAX(0,MIN(O43,$L$1-K43+1-COUNTIFS(휴일!$A$2:$A$20,"&gt;="&amp;K43,휴일!$A$2:$A$20,"&lt;="&amp;$L$1))))</f>
        <v>0</v>
      </c>
      <c r="R43" s="33" t="n">
        <f aca="false">IF(P43=0,0,MIN(P43,O43))</f>
        <v>0</v>
      </c>
      <c r="S43" s="34" t="n">
        <f aca="false">IFERROR(Q43/O43,0)</f>
        <v>0</v>
      </c>
      <c r="T43" s="34" t="n">
        <f aca="false">IFERROR(R43/O43,0)</f>
        <v>0</v>
      </c>
      <c r="U43" s="35" t="n">
        <f aca="false">IF(OR(O43=0,R43=0),0,MIN(1,R43/O43))</f>
        <v>0</v>
      </c>
      <c r="V43" s="36" t="n">
        <f aca="false">U43-S43</f>
        <v>0</v>
      </c>
      <c r="W43" s="37" t="str">
        <f aca="false">IF(AND(W$5&gt;=$K43,W$5&lt;=$L43,COUNTIF(휴일!$A$2:$A$20,W$5)=0),IF($G43="선택","□","■"),"")</f>
        <v/>
      </c>
      <c r="X43" s="37" t="str">
        <f aca="false">IF(AND(X$5&gt;=$K43,X$5&lt;=$L43,COUNTIF(휴일!$A$2:$A$20,X$5)=0),IF($G43="선택","□","■"),"")</f>
        <v/>
      </c>
      <c r="Y43" s="37" t="str">
        <f aca="false">IF(AND(Y$5&gt;=$K43,Y$5&lt;=$L43,COUNTIF(휴일!$A$2:$A$20,Y$5)=0),IF($G43="선택","□","■"),"")</f>
        <v/>
      </c>
      <c r="Z43" s="37" t="str">
        <f aca="false">IF(AND(Z$5&gt;=$K43,Z$5&lt;=$L43,COUNTIF(휴일!$A$2:$A$20,Z$5)=0),IF($G43="선택","□","■"),"")</f>
        <v>■</v>
      </c>
      <c r="AA43" s="37" t="str">
        <f aca="false">IF(AND(AA$5&gt;=$K43,AA$5&lt;=$L43,COUNTIF(휴일!$A$2:$A$20,AA$5)=0),IF($G43="선택","□","■"),"")</f>
        <v/>
      </c>
      <c r="AB43" s="37" t="str">
        <f aca="false">IF(AND(AB$5&gt;=$K43,AB$5&lt;=$L43,COUNTIF(휴일!$A$2:$A$20,AB$5)=0),IF($G43="선택","□","■"),"")</f>
        <v/>
      </c>
      <c r="AC43" s="37" t="str">
        <f aca="false">IF(AND(AC$5&gt;=$K43,AC$5&lt;=$L43,COUNTIF(휴일!$A$2:$A$20,AC$5)=0),IF($G43="선택","□","■"),"")</f>
        <v/>
      </c>
      <c r="AD43" s="37" t="str">
        <f aca="false">IF(AND(AD$5&gt;=$K43,AD$5&lt;=$L43,COUNTIF(휴일!$A$2:$A$20,AD$5)=0),IF($G43="선택","□","■"),"")</f>
        <v/>
      </c>
      <c r="AE43" s="37" t="str">
        <f aca="false">IF(AND(AE$5&gt;=$K43,AE$5&lt;=$L43,COUNTIF(휴일!$A$2:$A$20,AE$5)=0),IF($G43="선택","□","■"),"")</f>
        <v/>
      </c>
      <c r="AF43" s="37" t="str">
        <f aca="false">IF(AND(AF$5&gt;=$K43,AF$5&lt;=$L43,COUNTIF(휴일!$A$2:$A$20,AF$5)=0),IF($G43="선택","□","■"),"")</f>
        <v/>
      </c>
    </row>
    <row r="44" customFormat="false" ht="30" hidden="false" customHeight="true" outlineLevel="0" collapsed="false">
      <c r="B44" s="23"/>
      <c r="C44" s="24"/>
      <c r="D44" s="25"/>
      <c r="E44" s="26" t="s">
        <v>41</v>
      </c>
      <c r="F44" s="27" t="s">
        <v>163</v>
      </c>
      <c r="G44" s="28" t="s">
        <v>30</v>
      </c>
      <c r="H44" s="28" t="s">
        <v>31</v>
      </c>
      <c r="I44" s="29" t="s">
        <v>164</v>
      </c>
      <c r="J44" s="30" t="s">
        <v>165</v>
      </c>
      <c r="K44" s="31" t="n">
        <v>46325</v>
      </c>
      <c r="L44" s="31" t="n">
        <v>46325</v>
      </c>
      <c r="M44" s="31"/>
      <c r="N44" s="31"/>
      <c r="O44" s="32" t="n">
        <f aca="false">IF(OR(K44="",L44=""),0,L44-K44+1-COUNTIFS(휴일!$A$2:$A$20,"&gt;="&amp;K44,휴일!$A$2:$A$20,"&lt;="&amp;L44))</f>
        <v>1</v>
      </c>
      <c r="P44" s="32" t="n">
        <f aca="false">IF(OR(M44="",N44=""),0,N44-M44+1-COUNTIFS(휴일!$A$2:$A$20,"&gt;="&amp;M44,휴일!$A$2:$A$20,"&lt;="&amp;N44))</f>
        <v>0</v>
      </c>
      <c r="Q44" s="33" t="n">
        <f aca="false">IF(O44=0,0,MAX(0,MIN(O44,$L$1-K44+1-COUNTIFS(휴일!$A$2:$A$20,"&gt;="&amp;K44,휴일!$A$2:$A$20,"&lt;="&amp;$L$1))))</f>
        <v>0</v>
      </c>
      <c r="R44" s="33" t="n">
        <f aca="false">IF(P44=0,0,MIN(P44,O44))</f>
        <v>0</v>
      </c>
      <c r="S44" s="34" t="n">
        <f aca="false">IFERROR(Q44/O44,0)</f>
        <v>0</v>
      </c>
      <c r="T44" s="34" t="n">
        <f aca="false">IFERROR(R44/O44,0)</f>
        <v>0</v>
      </c>
      <c r="U44" s="35" t="n">
        <f aca="false">IF(OR(O44=0,R44=0),0,MIN(1,R44/O44))</f>
        <v>0</v>
      </c>
      <c r="V44" s="36" t="n">
        <f aca="false">U44-S44</f>
        <v>0</v>
      </c>
      <c r="W44" s="37" t="str">
        <f aca="false">IF(AND(W$5&gt;=$K44,W$5&lt;=$L44,COUNTIF(휴일!$A$2:$A$20,W$5)=0),IF($G44="선택","□","■"),"")</f>
        <v/>
      </c>
      <c r="X44" s="37" t="str">
        <f aca="false">IF(AND(X$5&gt;=$K44,X$5&lt;=$L44,COUNTIF(휴일!$A$2:$A$20,X$5)=0),IF($G44="선택","□","■"),"")</f>
        <v/>
      </c>
      <c r="Y44" s="37" t="str">
        <f aca="false">IF(AND(Y$5&gt;=$K44,Y$5&lt;=$L44,COUNTIF(휴일!$A$2:$A$20,Y$5)=0),IF($G44="선택","□","■"),"")</f>
        <v/>
      </c>
      <c r="Z44" s="37" t="str">
        <f aca="false">IF(AND(Z$5&gt;=$K44,Z$5&lt;=$L44,COUNTIF(휴일!$A$2:$A$20,Z$5)=0),IF($G44="선택","□","■"),"")</f>
        <v>■</v>
      </c>
      <c r="AA44" s="37" t="str">
        <f aca="false">IF(AND(AA$5&gt;=$K44,AA$5&lt;=$L44,COUNTIF(휴일!$A$2:$A$20,AA$5)=0),IF($G44="선택","□","■"),"")</f>
        <v/>
      </c>
      <c r="AB44" s="37" t="str">
        <f aca="false">IF(AND(AB$5&gt;=$K44,AB$5&lt;=$L44,COUNTIF(휴일!$A$2:$A$20,AB$5)=0),IF($G44="선택","□","■"),"")</f>
        <v/>
      </c>
      <c r="AC44" s="37" t="str">
        <f aca="false">IF(AND(AC$5&gt;=$K44,AC$5&lt;=$L44,COUNTIF(휴일!$A$2:$A$20,AC$5)=0),IF($G44="선택","□","■"),"")</f>
        <v/>
      </c>
      <c r="AD44" s="37" t="str">
        <f aca="false">IF(AND(AD$5&gt;=$K44,AD$5&lt;=$L44,COUNTIF(휴일!$A$2:$A$20,AD$5)=0),IF($G44="선택","□","■"),"")</f>
        <v/>
      </c>
      <c r="AE44" s="37" t="str">
        <f aca="false">IF(AND(AE$5&gt;=$K44,AE$5&lt;=$L44,COUNTIF(휴일!$A$2:$A$20,AE$5)=0),IF($G44="선택","□","■"),"")</f>
        <v/>
      </c>
      <c r="AF44" s="37" t="str">
        <f aca="false">IF(AND(AF$5&gt;=$K44,AF$5&lt;=$L44,COUNTIF(휴일!$A$2:$A$20,AF$5)=0),IF($G44="선택","□","■"),"")</f>
        <v/>
      </c>
    </row>
    <row r="45" customFormat="false" ht="30" hidden="false" customHeight="true" outlineLevel="0" collapsed="false">
      <c r="B45" s="23"/>
      <c r="C45" s="24"/>
      <c r="D45" s="25"/>
      <c r="E45" s="26" t="s">
        <v>166</v>
      </c>
      <c r="F45" s="27" t="s">
        <v>167</v>
      </c>
      <c r="G45" s="28" t="s">
        <v>30</v>
      </c>
      <c r="H45" s="28" t="s">
        <v>31</v>
      </c>
      <c r="I45" s="29" t="s">
        <v>168</v>
      </c>
      <c r="J45" s="30" t="s">
        <v>169</v>
      </c>
      <c r="K45" s="31" t="n">
        <v>46325</v>
      </c>
      <c r="L45" s="31" t="n">
        <v>46325</v>
      </c>
      <c r="M45" s="31"/>
      <c r="N45" s="31"/>
      <c r="O45" s="32" t="n">
        <f aca="false">IF(OR(K45="",L45=""),0,L45-K45+1-COUNTIFS(휴일!$A$2:$A$20,"&gt;="&amp;K45,휴일!$A$2:$A$20,"&lt;="&amp;L45))</f>
        <v>1</v>
      </c>
      <c r="P45" s="32" t="n">
        <f aca="false">IF(OR(M45="",N45=""),0,N45-M45+1-COUNTIFS(휴일!$A$2:$A$20,"&gt;="&amp;M45,휴일!$A$2:$A$20,"&lt;="&amp;N45))</f>
        <v>0</v>
      </c>
      <c r="Q45" s="33" t="n">
        <f aca="false">IF(O45=0,0,MAX(0,MIN(O45,$L$1-K45+1-COUNTIFS(휴일!$A$2:$A$20,"&gt;="&amp;K45,휴일!$A$2:$A$20,"&lt;="&amp;$L$1))))</f>
        <v>0</v>
      </c>
      <c r="R45" s="33" t="n">
        <f aca="false">IF(P45=0,0,MIN(P45,O45))</f>
        <v>0</v>
      </c>
      <c r="S45" s="34" t="n">
        <f aca="false">IFERROR(Q45/O45,0)</f>
        <v>0</v>
      </c>
      <c r="T45" s="34" t="n">
        <f aca="false">IFERROR(R45/O45,0)</f>
        <v>0</v>
      </c>
      <c r="U45" s="35" t="n">
        <f aca="false">IF(OR(O45=0,R45=0),0,MIN(1,R45/O45))</f>
        <v>0</v>
      </c>
      <c r="V45" s="36" t="n">
        <f aca="false">U45-S45</f>
        <v>0</v>
      </c>
      <c r="W45" s="37" t="str">
        <f aca="false">IF(AND(W$5&gt;=$K45,W$5&lt;=$L45,COUNTIF(휴일!$A$2:$A$20,W$5)=0),IF($G45="선택","□","■"),"")</f>
        <v/>
      </c>
      <c r="X45" s="37" t="str">
        <f aca="false">IF(AND(X$5&gt;=$K45,X$5&lt;=$L45,COUNTIF(휴일!$A$2:$A$20,X$5)=0),IF($G45="선택","□","■"),"")</f>
        <v/>
      </c>
      <c r="Y45" s="37" t="str">
        <f aca="false">IF(AND(Y$5&gt;=$K45,Y$5&lt;=$L45,COUNTIF(휴일!$A$2:$A$20,Y$5)=0),IF($G45="선택","□","■"),"")</f>
        <v/>
      </c>
      <c r="Z45" s="37" t="str">
        <f aca="false">IF(AND(Z$5&gt;=$K45,Z$5&lt;=$L45,COUNTIF(휴일!$A$2:$A$20,Z$5)=0),IF($G45="선택","□","■"),"")</f>
        <v>■</v>
      </c>
      <c r="AA45" s="37" t="str">
        <f aca="false">IF(AND(AA$5&gt;=$K45,AA$5&lt;=$L45,COUNTIF(휴일!$A$2:$A$20,AA$5)=0),IF($G45="선택","□","■"),"")</f>
        <v/>
      </c>
      <c r="AB45" s="37" t="str">
        <f aca="false">IF(AND(AB$5&gt;=$K45,AB$5&lt;=$L45,COUNTIF(휴일!$A$2:$A$20,AB$5)=0),IF($G45="선택","□","■"),"")</f>
        <v/>
      </c>
      <c r="AC45" s="37" t="str">
        <f aca="false">IF(AND(AC$5&gt;=$K45,AC$5&lt;=$L45,COUNTIF(휴일!$A$2:$A$20,AC$5)=0),IF($G45="선택","□","■"),"")</f>
        <v/>
      </c>
      <c r="AD45" s="37" t="str">
        <f aca="false">IF(AND(AD$5&gt;=$K45,AD$5&lt;=$L45,COUNTIF(휴일!$A$2:$A$20,AD$5)=0),IF($G45="선택","□","■"),"")</f>
        <v/>
      </c>
      <c r="AE45" s="37" t="str">
        <f aca="false">IF(AND(AE$5&gt;=$K45,AE$5&lt;=$L45,COUNTIF(휴일!$A$2:$A$20,AE$5)=0),IF($G45="선택","□","■"),"")</f>
        <v/>
      </c>
      <c r="AF45" s="37" t="str">
        <f aca="false">IF(AND(AF$5&gt;=$K45,AF$5&lt;=$L45,COUNTIF(휴일!$A$2:$A$20,AF$5)=0),IF($G45="선택","□","■"),"")</f>
        <v/>
      </c>
    </row>
    <row r="46" customFormat="false" ht="30" hidden="false" customHeight="true" outlineLevel="0" collapsed="false">
      <c r="B46" s="23"/>
      <c r="C46" s="24"/>
      <c r="D46" s="25"/>
      <c r="E46" s="26" t="s">
        <v>170</v>
      </c>
      <c r="F46" s="27" t="s">
        <v>171</v>
      </c>
      <c r="G46" s="28" t="s">
        <v>30</v>
      </c>
      <c r="H46" s="28" t="s">
        <v>31</v>
      </c>
      <c r="I46" s="29" t="s">
        <v>172</v>
      </c>
      <c r="J46" s="30" t="s">
        <v>173</v>
      </c>
      <c r="K46" s="31" t="n">
        <v>46325</v>
      </c>
      <c r="L46" s="31" t="n">
        <v>46325</v>
      </c>
      <c r="M46" s="31"/>
      <c r="N46" s="31"/>
      <c r="O46" s="32" t="n">
        <f aca="false">IF(OR(K46="",L46=""),0,L46-K46+1-COUNTIFS(휴일!$A$2:$A$20,"&gt;="&amp;K46,휴일!$A$2:$A$20,"&lt;="&amp;L46))</f>
        <v>1</v>
      </c>
      <c r="P46" s="32" t="n">
        <f aca="false">IF(OR(M46="",N46=""),0,N46-M46+1-COUNTIFS(휴일!$A$2:$A$20,"&gt;="&amp;M46,휴일!$A$2:$A$20,"&lt;="&amp;N46))</f>
        <v>0</v>
      </c>
      <c r="Q46" s="33" t="n">
        <f aca="false">IF(O46=0,0,MAX(0,MIN(O46,$L$1-K46+1-COUNTIFS(휴일!$A$2:$A$20,"&gt;="&amp;K46,휴일!$A$2:$A$20,"&lt;="&amp;$L$1))))</f>
        <v>0</v>
      </c>
      <c r="R46" s="33" t="n">
        <f aca="false">IF(P46=0,0,MIN(P46,O46))</f>
        <v>0</v>
      </c>
      <c r="S46" s="34" t="n">
        <f aca="false">IFERROR(Q46/O46,0)</f>
        <v>0</v>
      </c>
      <c r="T46" s="34" t="n">
        <f aca="false">IFERROR(R46/O46,0)</f>
        <v>0</v>
      </c>
      <c r="U46" s="35" t="n">
        <f aca="false">IF(OR(O46=0,R46=0),0,MIN(1,R46/O46))</f>
        <v>0</v>
      </c>
      <c r="V46" s="36" t="n">
        <f aca="false">U46-S46</f>
        <v>0</v>
      </c>
      <c r="W46" s="37" t="str">
        <f aca="false">IF(AND(W$5&gt;=$K46,W$5&lt;=$L46,COUNTIF(휴일!$A$2:$A$20,W$5)=0),IF($G46="선택","□","■"),"")</f>
        <v/>
      </c>
      <c r="X46" s="37" t="str">
        <f aca="false">IF(AND(X$5&gt;=$K46,X$5&lt;=$L46,COUNTIF(휴일!$A$2:$A$20,X$5)=0),IF($G46="선택","□","■"),"")</f>
        <v/>
      </c>
      <c r="Y46" s="37" t="str">
        <f aca="false">IF(AND(Y$5&gt;=$K46,Y$5&lt;=$L46,COUNTIF(휴일!$A$2:$A$20,Y$5)=0),IF($G46="선택","□","■"),"")</f>
        <v/>
      </c>
      <c r="Z46" s="37" t="str">
        <f aca="false">IF(AND(Z$5&gt;=$K46,Z$5&lt;=$L46,COUNTIF(휴일!$A$2:$A$20,Z$5)=0),IF($G46="선택","□","■"),"")</f>
        <v>■</v>
      </c>
      <c r="AA46" s="37" t="str">
        <f aca="false">IF(AND(AA$5&gt;=$K46,AA$5&lt;=$L46,COUNTIF(휴일!$A$2:$A$20,AA$5)=0),IF($G46="선택","□","■"),"")</f>
        <v/>
      </c>
      <c r="AB46" s="37" t="str">
        <f aca="false">IF(AND(AB$5&gt;=$K46,AB$5&lt;=$L46,COUNTIF(휴일!$A$2:$A$20,AB$5)=0),IF($G46="선택","□","■"),"")</f>
        <v/>
      </c>
      <c r="AC46" s="37" t="str">
        <f aca="false">IF(AND(AC$5&gt;=$K46,AC$5&lt;=$L46,COUNTIF(휴일!$A$2:$A$20,AC$5)=0),IF($G46="선택","□","■"),"")</f>
        <v/>
      </c>
      <c r="AD46" s="37" t="str">
        <f aca="false">IF(AND(AD$5&gt;=$K46,AD$5&lt;=$L46,COUNTIF(휴일!$A$2:$A$20,AD$5)=0),IF($G46="선택","□","■"),"")</f>
        <v/>
      </c>
      <c r="AE46" s="37" t="str">
        <f aca="false">IF(AND(AE$5&gt;=$K46,AE$5&lt;=$L46,COUNTIF(휴일!$A$2:$A$20,AE$5)=0),IF($G46="선택","□","■"),"")</f>
        <v/>
      </c>
      <c r="AF46" s="37" t="str">
        <f aca="false">IF(AND(AF$5&gt;=$K46,AF$5&lt;=$L46,COUNTIF(휴일!$A$2:$A$20,AF$5)=0),IF($G46="선택","□","■"),"")</f>
        <v/>
      </c>
    </row>
    <row r="47" customFormat="false" ht="30" hidden="false" customHeight="true" outlineLevel="0" collapsed="false">
      <c r="B47" s="23"/>
      <c r="C47" s="24"/>
      <c r="D47" s="25"/>
      <c r="E47" s="26" t="s">
        <v>45</v>
      </c>
      <c r="F47" s="27" t="s">
        <v>174</v>
      </c>
      <c r="G47" s="28" t="s">
        <v>30</v>
      </c>
      <c r="H47" s="28" t="s">
        <v>31</v>
      </c>
      <c r="I47" s="29" t="s">
        <v>175</v>
      </c>
      <c r="J47" s="30" t="s">
        <v>176</v>
      </c>
      <c r="K47" s="31" t="n">
        <v>46325</v>
      </c>
      <c r="L47" s="31" t="n">
        <v>46325</v>
      </c>
      <c r="M47" s="31"/>
      <c r="N47" s="31"/>
      <c r="O47" s="32" t="n">
        <f aca="false">IF(OR(K47="",L47=""),0,L47-K47+1-COUNTIFS(휴일!$A$2:$A$20,"&gt;="&amp;K47,휴일!$A$2:$A$20,"&lt;="&amp;L47))</f>
        <v>1</v>
      </c>
      <c r="P47" s="32" t="n">
        <f aca="false">IF(OR(M47="",N47=""),0,N47-M47+1-COUNTIFS(휴일!$A$2:$A$20,"&gt;="&amp;M47,휴일!$A$2:$A$20,"&lt;="&amp;N47))</f>
        <v>0</v>
      </c>
      <c r="Q47" s="33" t="n">
        <f aca="false">IF(O47=0,0,MAX(0,MIN(O47,$L$1-K47+1-COUNTIFS(휴일!$A$2:$A$20,"&gt;="&amp;K47,휴일!$A$2:$A$20,"&lt;="&amp;$L$1))))</f>
        <v>0</v>
      </c>
      <c r="R47" s="33" t="n">
        <f aca="false">IF(P47=0,0,MIN(P47,O47))</f>
        <v>0</v>
      </c>
      <c r="S47" s="34" t="n">
        <f aca="false">IFERROR(Q47/O47,0)</f>
        <v>0</v>
      </c>
      <c r="T47" s="34" t="n">
        <f aca="false">IFERROR(R47/O47,0)</f>
        <v>0</v>
      </c>
      <c r="U47" s="35" t="n">
        <f aca="false">IF(OR(O47=0,R47=0),0,MIN(1,R47/O47))</f>
        <v>0</v>
      </c>
      <c r="V47" s="36" t="n">
        <f aca="false">U47-S47</f>
        <v>0</v>
      </c>
      <c r="W47" s="37" t="str">
        <f aca="false">IF(AND(W$5&gt;=$K47,W$5&lt;=$L47,COUNTIF(휴일!$A$2:$A$20,W$5)=0),IF($G47="선택","□","■"),"")</f>
        <v/>
      </c>
      <c r="X47" s="37" t="str">
        <f aca="false">IF(AND(X$5&gt;=$K47,X$5&lt;=$L47,COUNTIF(휴일!$A$2:$A$20,X$5)=0),IF($G47="선택","□","■"),"")</f>
        <v/>
      </c>
      <c r="Y47" s="37" t="str">
        <f aca="false">IF(AND(Y$5&gt;=$K47,Y$5&lt;=$L47,COUNTIF(휴일!$A$2:$A$20,Y$5)=0),IF($G47="선택","□","■"),"")</f>
        <v/>
      </c>
      <c r="Z47" s="37" t="str">
        <f aca="false">IF(AND(Z$5&gt;=$K47,Z$5&lt;=$L47,COUNTIF(휴일!$A$2:$A$20,Z$5)=0),IF($G47="선택","□","■"),"")</f>
        <v>■</v>
      </c>
      <c r="AA47" s="37" t="str">
        <f aca="false">IF(AND(AA$5&gt;=$K47,AA$5&lt;=$L47,COUNTIF(휴일!$A$2:$A$20,AA$5)=0),IF($G47="선택","□","■"),"")</f>
        <v/>
      </c>
      <c r="AB47" s="37" t="str">
        <f aca="false">IF(AND(AB$5&gt;=$K47,AB$5&lt;=$L47,COUNTIF(휴일!$A$2:$A$20,AB$5)=0),IF($G47="선택","□","■"),"")</f>
        <v/>
      </c>
      <c r="AC47" s="37" t="str">
        <f aca="false">IF(AND(AC$5&gt;=$K47,AC$5&lt;=$L47,COUNTIF(휴일!$A$2:$A$20,AC$5)=0),IF($G47="선택","□","■"),"")</f>
        <v/>
      </c>
      <c r="AD47" s="37" t="str">
        <f aca="false">IF(AND(AD$5&gt;=$K47,AD$5&lt;=$L47,COUNTIF(휴일!$A$2:$A$20,AD$5)=0),IF($G47="선택","□","■"),"")</f>
        <v/>
      </c>
      <c r="AE47" s="37" t="str">
        <f aca="false">IF(AND(AE$5&gt;=$K47,AE$5&lt;=$L47,COUNTIF(휴일!$A$2:$A$20,AE$5)=0),IF($G47="선택","□","■"),"")</f>
        <v/>
      </c>
      <c r="AF47" s="37" t="str">
        <f aca="false">IF(AND(AF$5&gt;=$K47,AF$5&lt;=$L47,COUNTIF(휴일!$A$2:$A$20,AF$5)=0),IF($G47="선택","□","■"),"")</f>
        <v/>
      </c>
    </row>
    <row r="48" customFormat="false" ht="30" hidden="false" customHeight="true" outlineLevel="0" collapsed="false">
      <c r="B48" s="23"/>
      <c r="C48" s="24"/>
      <c r="D48" s="25"/>
      <c r="E48" s="26" t="s">
        <v>177</v>
      </c>
      <c r="F48" s="27" t="s">
        <v>178</v>
      </c>
      <c r="G48" s="28" t="s">
        <v>30</v>
      </c>
      <c r="H48" s="28" t="s">
        <v>31</v>
      </c>
      <c r="I48" s="29" t="s">
        <v>179</v>
      </c>
      <c r="J48" s="30" t="s">
        <v>180</v>
      </c>
      <c r="K48" s="31" t="n">
        <v>46325</v>
      </c>
      <c r="L48" s="31" t="n">
        <v>46325</v>
      </c>
      <c r="M48" s="31"/>
      <c r="N48" s="31"/>
      <c r="O48" s="32" t="n">
        <f aca="false">IF(OR(K48="",L48=""),0,L48-K48+1-COUNTIFS(휴일!$A$2:$A$20,"&gt;="&amp;K48,휴일!$A$2:$A$20,"&lt;="&amp;L48))</f>
        <v>1</v>
      </c>
      <c r="P48" s="32" t="n">
        <f aca="false">IF(OR(M48="",N48=""),0,N48-M48+1-COUNTIFS(휴일!$A$2:$A$20,"&gt;="&amp;M48,휴일!$A$2:$A$20,"&lt;="&amp;N48))</f>
        <v>0</v>
      </c>
      <c r="Q48" s="33" t="n">
        <f aca="false">IF(O48=0,0,MAX(0,MIN(O48,$L$1-K48+1-COUNTIFS(휴일!$A$2:$A$20,"&gt;="&amp;K48,휴일!$A$2:$A$20,"&lt;="&amp;$L$1))))</f>
        <v>0</v>
      </c>
      <c r="R48" s="33" t="n">
        <f aca="false">IF(P48=0,0,MIN(P48,O48))</f>
        <v>0</v>
      </c>
      <c r="S48" s="34" t="n">
        <f aca="false">IFERROR(Q48/O48,0)</f>
        <v>0</v>
      </c>
      <c r="T48" s="34" t="n">
        <f aca="false">IFERROR(R48/O48,0)</f>
        <v>0</v>
      </c>
      <c r="U48" s="35" t="n">
        <f aca="false">IF(OR(O48=0,R48=0),0,MIN(1,R48/O48))</f>
        <v>0</v>
      </c>
      <c r="V48" s="36" t="n">
        <f aca="false">U48-S48</f>
        <v>0</v>
      </c>
      <c r="W48" s="37" t="str">
        <f aca="false">IF(AND(W$5&gt;=$K48,W$5&lt;=$L48,COUNTIF(휴일!$A$2:$A$20,W$5)=0),IF($G48="선택","□","■"),"")</f>
        <v/>
      </c>
      <c r="X48" s="37" t="str">
        <f aca="false">IF(AND(X$5&gt;=$K48,X$5&lt;=$L48,COUNTIF(휴일!$A$2:$A$20,X$5)=0),IF($G48="선택","□","■"),"")</f>
        <v/>
      </c>
      <c r="Y48" s="37" t="str">
        <f aca="false">IF(AND(Y$5&gt;=$K48,Y$5&lt;=$L48,COUNTIF(휴일!$A$2:$A$20,Y$5)=0),IF($G48="선택","□","■"),"")</f>
        <v/>
      </c>
      <c r="Z48" s="37" t="str">
        <f aca="false">IF(AND(Z$5&gt;=$K48,Z$5&lt;=$L48,COUNTIF(휴일!$A$2:$A$20,Z$5)=0),IF($G48="선택","□","■"),"")</f>
        <v>■</v>
      </c>
      <c r="AA48" s="37" t="str">
        <f aca="false">IF(AND(AA$5&gt;=$K48,AA$5&lt;=$L48,COUNTIF(휴일!$A$2:$A$20,AA$5)=0),IF($G48="선택","□","■"),"")</f>
        <v/>
      </c>
      <c r="AB48" s="37" t="str">
        <f aca="false">IF(AND(AB$5&gt;=$K48,AB$5&lt;=$L48,COUNTIF(휴일!$A$2:$A$20,AB$5)=0),IF($G48="선택","□","■"),"")</f>
        <v/>
      </c>
      <c r="AC48" s="37" t="str">
        <f aca="false">IF(AND(AC$5&gt;=$K48,AC$5&lt;=$L48,COUNTIF(휴일!$A$2:$A$20,AC$5)=0),IF($G48="선택","□","■"),"")</f>
        <v/>
      </c>
      <c r="AD48" s="37" t="str">
        <f aca="false">IF(AND(AD$5&gt;=$K48,AD$5&lt;=$L48,COUNTIF(휴일!$A$2:$A$20,AD$5)=0),IF($G48="선택","□","■"),"")</f>
        <v/>
      </c>
      <c r="AE48" s="37" t="str">
        <f aca="false">IF(AND(AE$5&gt;=$K48,AE$5&lt;=$L48,COUNTIF(휴일!$A$2:$A$20,AE$5)=0),IF($G48="선택","□","■"),"")</f>
        <v/>
      </c>
      <c r="AF48" s="37" t="str">
        <f aca="false">IF(AND(AF$5&gt;=$K48,AF$5&lt;=$L48,COUNTIF(휴일!$A$2:$A$20,AF$5)=0),IF($G48="선택","□","■"),"")</f>
        <v/>
      </c>
    </row>
    <row r="49" customFormat="false" ht="30" hidden="false" customHeight="true" outlineLevel="0" collapsed="false">
      <c r="B49" s="23"/>
      <c r="C49" s="24"/>
      <c r="D49" s="25"/>
      <c r="E49" s="26" t="s">
        <v>181</v>
      </c>
      <c r="F49" s="27" t="s">
        <v>182</v>
      </c>
      <c r="G49" s="28" t="s">
        <v>30</v>
      </c>
      <c r="H49" s="28" t="s">
        <v>31</v>
      </c>
      <c r="I49" s="29" t="s">
        <v>183</v>
      </c>
      <c r="J49" s="30" t="s">
        <v>184</v>
      </c>
      <c r="K49" s="31" t="n">
        <v>46325</v>
      </c>
      <c r="L49" s="31" t="n">
        <v>46325</v>
      </c>
      <c r="M49" s="31"/>
      <c r="N49" s="31"/>
      <c r="O49" s="32" t="n">
        <f aca="false">IF(OR(K49="",L49=""),0,L49-K49+1-COUNTIFS(휴일!$A$2:$A$20,"&gt;="&amp;K49,휴일!$A$2:$A$20,"&lt;="&amp;L49))</f>
        <v>1</v>
      </c>
      <c r="P49" s="32" t="n">
        <f aca="false">IF(OR(M49="",N49=""),0,N49-M49+1-COUNTIFS(휴일!$A$2:$A$20,"&gt;="&amp;M49,휴일!$A$2:$A$20,"&lt;="&amp;N49))</f>
        <v>0</v>
      </c>
      <c r="Q49" s="33" t="n">
        <f aca="false">IF(O49=0,0,MAX(0,MIN(O49,$L$1-K49+1-COUNTIFS(휴일!$A$2:$A$20,"&gt;="&amp;K49,휴일!$A$2:$A$20,"&lt;="&amp;$L$1))))</f>
        <v>0</v>
      </c>
      <c r="R49" s="33" t="n">
        <f aca="false">IF(P49=0,0,MIN(P49,O49))</f>
        <v>0</v>
      </c>
      <c r="S49" s="34" t="n">
        <f aca="false">IFERROR(Q49/O49,0)</f>
        <v>0</v>
      </c>
      <c r="T49" s="34" t="n">
        <f aca="false">IFERROR(R49/O49,0)</f>
        <v>0</v>
      </c>
      <c r="U49" s="35" t="n">
        <f aca="false">IF(OR(O49=0,R49=0),0,MIN(1,R49/O49))</f>
        <v>0</v>
      </c>
      <c r="V49" s="36" t="n">
        <f aca="false">U49-S49</f>
        <v>0</v>
      </c>
      <c r="W49" s="37" t="str">
        <f aca="false">IF(AND(W$5&gt;=$K49,W$5&lt;=$L49,COUNTIF(휴일!$A$2:$A$20,W$5)=0),IF($G49="선택","□","■"),"")</f>
        <v/>
      </c>
      <c r="X49" s="37" t="str">
        <f aca="false">IF(AND(X$5&gt;=$K49,X$5&lt;=$L49,COUNTIF(휴일!$A$2:$A$20,X$5)=0),IF($G49="선택","□","■"),"")</f>
        <v/>
      </c>
      <c r="Y49" s="37" t="str">
        <f aca="false">IF(AND(Y$5&gt;=$K49,Y$5&lt;=$L49,COUNTIF(휴일!$A$2:$A$20,Y$5)=0),IF($G49="선택","□","■"),"")</f>
        <v/>
      </c>
      <c r="Z49" s="37" t="str">
        <f aca="false">IF(AND(Z$5&gt;=$K49,Z$5&lt;=$L49,COUNTIF(휴일!$A$2:$A$20,Z$5)=0),IF($G49="선택","□","■"),"")</f>
        <v>■</v>
      </c>
      <c r="AA49" s="37" t="str">
        <f aca="false">IF(AND(AA$5&gt;=$K49,AA$5&lt;=$L49,COUNTIF(휴일!$A$2:$A$20,AA$5)=0),IF($G49="선택","□","■"),"")</f>
        <v/>
      </c>
      <c r="AB49" s="37" t="str">
        <f aca="false">IF(AND(AB$5&gt;=$K49,AB$5&lt;=$L49,COUNTIF(휴일!$A$2:$A$20,AB$5)=0),IF($G49="선택","□","■"),"")</f>
        <v/>
      </c>
      <c r="AC49" s="37" t="str">
        <f aca="false">IF(AND(AC$5&gt;=$K49,AC$5&lt;=$L49,COUNTIF(휴일!$A$2:$A$20,AC$5)=0),IF($G49="선택","□","■"),"")</f>
        <v/>
      </c>
      <c r="AD49" s="37" t="str">
        <f aca="false">IF(AND(AD$5&gt;=$K49,AD$5&lt;=$L49,COUNTIF(휴일!$A$2:$A$20,AD$5)=0),IF($G49="선택","□","■"),"")</f>
        <v/>
      </c>
      <c r="AE49" s="37" t="str">
        <f aca="false">IF(AND(AE$5&gt;=$K49,AE$5&lt;=$L49,COUNTIF(휴일!$A$2:$A$20,AE$5)=0),IF($G49="선택","□","■"),"")</f>
        <v/>
      </c>
      <c r="AF49" s="37" t="str">
        <f aca="false">IF(AND(AF$5&gt;=$K49,AF$5&lt;=$L49,COUNTIF(휴일!$A$2:$A$20,AF$5)=0),IF($G49="선택","□","■"),"")</f>
        <v/>
      </c>
    </row>
    <row r="50" customFormat="false" ht="30" hidden="false" customHeight="true" outlineLevel="0" collapsed="false">
      <c r="B50" s="23"/>
      <c r="C50" s="24"/>
      <c r="D50" s="25"/>
      <c r="E50" s="26" t="s">
        <v>60</v>
      </c>
      <c r="F50" s="27" t="s">
        <v>185</v>
      </c>
      <c r="G50" s="28" t="s">
        <v>30</v>
      </c>
      <c r="H50" s="28" t="s">
        <v>31</v>
      </c>
      <c r="I50" s="29" t="s">
        <v>186</v>
      </c>
      <c r="J50" s="30" t="s">
        <v>187</v>
      </c>
      <c r="K50" s="31" t="n">
        <v>46325</v>
      </c>
      <c r="L50" s="31" t="n">
        <v>46325</v>
      </c>
      <c r="M50" s="31"/>
      <c r="N50" s="31"/>
      <c r="O50" s="32" t="n">
        <f aca="false">IF(OR(K50="",L50=""),0,L50-K50+1-COUNTIFS(휴일!$A$2:$A$20,"&gt;="&amp;K50,휴일!$A$2:$A$20,"&lt;="&amp;L50))</f>
        <v>1</v>
      </c>
      <c r="P50" s="32" t="n">
        <f aca="false">IF(OR(M50="",N50=""),0,N50-M50+1-COUNTIFS(휴일!$A$2:$A$20,"&gt;="&amp;M50,휴일!$A$2:$A$20,"&lt;="&amp;N50))</f>
        <v>0</v>
      </c>
      <c r="Q50" s="33" t="n">
        <f aca="false">IF(O50=0,0,MAX(0,MIN(O50,$L$1-K50+1-COUNTIFS(휴일!$A$2:$A$20,"&gt;="&amp;K50,휴일!$A$2:$A$20,"&lt;="&amp;$L$1))))</f>
        <v>0</v>
      </c>
      <c r="R50" s="33" t="n">
        <f aca="false">IF(P50=0,0,MIN(P50,O50))</f>
        <v>0</v>
      </c>
      <c r="S50" s="34" t="n">
        <f aca="false">IFERROR(Q50/O50,0)</f>
        <v>0</v>
      </c>
      <c r="T50" s="34" t="n">
        <f aca="false">IFERROR(R50/O50,0)</f>
        <v>0</v>
      </c>
      <c r="U50" s="35" t="n">
        <f aca="false">IF(OR(O50=0,R50=0),0,MIN(1,R50/O50))</f>
        <v>0</v>
      </c>
      <c r="V50" s="36" t="n">
        <f aca="false">U50-S50</f>
        <v>0</v>
      </c>
      <c r="W50" s="37" t="str">
        <f aca="false">IF(AND(W$5&gt;=$K50,W$5&lt;=$L50,COUNTIF(휴일!$A$2:$A$20,W$5)=0),IF($G50="선택","□","■"),"")</f>
        <v/>
      </c>
      <c r="X50" s="37" t="str">
        <f aca="false">IF(AND(X$5&gt;=$K50,X$5&lt;=$L50,COUNTIF(휴일!$A$2:$A$20,X$5)=0),IF($G50="선택","□","■"),"")</f>
        <v/>
      </c>
      <c r="Y50" s="37" t="str">
        <f aca="false">IF(AND(Y$5&gt;=$K50,Y$5&lt;=$L50,COUNTIF(휴일!$A$2:$A$20,Y$5)=0),IF($G50="선택","□","■"),"")</f>
        <v/>
      </c>
      <c r="Z50" s="37" t="str">
        <f aca="false">IF(AND(Z$5&gt;=$K50,Z$5&lt;=$L50,COUNTIF(휴일!$A$2:$A$20,Z$5)=0),IF($G50="선택","□","■"),"")</f>
        <v>■</v>
      </c>
      <c r="AA50" s="37" t="str">
        <f aca="false">IF(AND(AA$5&gt;=$K50,AA$5&lt;=$L50,COUNTIF(휴일!$A$2:$A$20,AA$5)=0),IF($G50="선택","□","■"),"")</f>
        <v/>
      </c>
      <c r="AB50" s="37" t="str">
        <f aca="false">IF(AND(AB$5&gt;=$K50,AB$5&lt;=$L50,COUNTIF(휴일!$A$2:$A$20,AB$5)=0),IF($G50="선택","□","■"),"")</f>
        <v/>
      </c>
      <c r="AC50" s="37" t="str">
        <f aca="false">IF(AND(AC$5&gt;=$K50,AC$5&lt;=$L50,COUNTIF(휴일!$A$2:$A$20,AC$5)=0),IF($G50="선택","□","■"),"")</f>
        <v/>
      </c>
      <c r="AD50" s="37" t="str">
        <f aca="false">IF(AND(AD$5&gt;=$K50,AD$5&lt;=$L50,COUNTIF(휴일!$A$2:$A$20,AD$5)=0),IF($G50="선택","□","■"),"")</f>
        <v/>
      </c>
      <c r="AE50" s="37" t="str">
        <f aca="false">IF(AND(AE$5&gt;=$K50,AE$5&lt;=$L50,COUNTIF(휴일!$A$2:$A$20,AE$5)=0),IF($G50="선택","□","■"),"")</f>
        <v/>
      </c>
      <c r="AF50" s="37" t="str">
        <f aca="false">IF(AND(AF$5&gt;=$K50,AF$5&lt;=$L50,COUNTIF(휴일!$A$2:$A$20,AF$5)=0),IF($G50="선택","□","■"),"")</f>
        <v/>
      </c>
    </row>
    <row r="51" customFormat="false" ht="30" hidden="false" customHeight="true" outlineLevel="0" collapsed="false">
      <c r="B51" s="23"/>
      <c r="C51" s="24"/>
      <c r="D51" s="25"/>
      <c r="E51" s="26" t="s">
        <v>53</v>
      </c>
      <c r="F51" s="27" t="s">
        <v>188</v>
      </c>
      <c r="G51" s="28" t="s">
        <v>30</v>
      </c>
      <c r="H51" s="28" t="s">
        <v>31</v>
      </c>
      <c r="I51" s="29" t="s">
        <v>189</v>
      </c>
      <c r="J51" s="30" t="s">
        <v>190</v>
      </c>
      <c r="K51" s="31" t="n">
        <v>46325</v>
      </c>
      <c r="L51" s="31" t="n">
        <v>46325</v>
      </c>
      <c r="M51" s="31"/>
      <c r="N51" s="31"/>
      <c r="O51" s="32" t="n">
        <f aca="false">IF(OR(K51="",L51=""),0,L51-K51+1-COUNTIFS(휴일!$A$2:$A$20,"&gt;="&amp;K51,휴일!$A$2:$A$20,"&lt;="&amp;L51))</f>
        <v>1</v>
      </c>
      <c r="P51" s="32" t="n">
        <f aca="false">IF(OR(M51="",N51=""),0,N51-M51+1-COUNTIFS(휴일!$A$2:$A$20,"&gt;="&amp;M51,휴일!$A$2:$A$20,"&lt;="&amp;N51))</f>
        <v>0</v>
      </c>
      <c r="Q51" s="33" t="n">
        <f aca="false">IF(O51=0,0,MAX(0,MIN(O51,$L$1-K51+1-COUNTIFS(휴일!$A$2:$A$20,"&gt;="&amp;K51,휴일!$A$2:$A$20,"&lt;="&amp;$L$1))))</f>
        <v>0</v>
      </c>
      <c r="R51" s="33" t="n">
        <f aca="false">IF(P51=0,0,MIN(P51,O51))</f>
        <v>0</v>
      </c>
      <c r="S51" s="34" t="n">
        <f aca="false">IFERROR(Q51/O51,0)</f>
        <v>0</v>
      </c>
      <c r="T51" s="34" t="n">
        <f aca="false">IFERROR(R51/O51,0)</f>
        <v>0</v>
      </c>
      <c r="U51" s="35" t="n">
        <f aca="false">IF(OR(O51=0,R51=0),0,MIN(1,R51/O51))</f>
        <v>0</v>
      </c>
      <c r="V51" s="36" t="n">
        <f aca="false">U51-S51</f>
        <v>0</v>
      </c>
      <c r="W51" s="37" t="str">
        <f aca="false">IF(AND(W$5&gt;=$K51,W$5&lt;=$L51,COUNTIF(휴일!$A$2:$A$20,W$5)=0),IF($G51="선택","□","■"),"")</f>
        <v/>
      </c>
      <c r="X51" s="37" t="str">
        <f aca="false">IF(AND(X$5&gt;=$K51,X$5&lt;=$L51,COUNTIF(휴일!$A$2:$A$20,X$5)=0),IF($G51="선택","□","■"),"")</f>
        <v/>
      </c>
      <c r="Y51" s="37" t="str">
        <f aca="false">IF(AND(Y$5&gt;=$K51,Y$5&lt;=$L51,COUNTIF(휴일!$A$2:$A$20,Y$5)=0),IF($G51="선택","□","■"),"")</f>
        <v/>
      </c>
      <c r="Z51" s="37" t="str">
        <f aca="false">IF(AND(Z$5&gt;=$K51,Z$5&lt;=$L51,COUNTIF(휴일!$A$2:$A$20,Z$5)=0),IF($G51="선택","□","■"),"")</f>
        <v>■</v>
      </c>
      <c r="AA51" s="37" t="str">
        <f aca="false">IF(AND(AA$5&gt;=$K51,AA$5&lt;=$L51,COUNTIF(휴일!$A$2:$A$20,AA$5)=0),IF($G51="선택","□","■"),"")</f>
        <v/>
      </c>
      <c r="AB51" s="37" t="str">
        <f aca="false">IF(AND(AB$5&gt;=$K51,AB$5&lt;=$L51,COUNTIF(휴일!$A$2:$A$20,AB$5)=0),IF($G51="선택","□","■"),"")</f>
        <v/>
      </c>
      <c r="AC51" s="37" t="str">
        <f aca="false">IF(AND(AC$5&gt;=$K51,AC$5&lt;=$L51,COUNTIF(휴일!$A$2:$A$20,AC$5)=0),IF($G51="선택","□","■"),"")</f>
        <v/>
      </c>
      <c r="AD51" s="37" t="str">
        <f aca="false">IF(AND(AD$5&gt;=$K51,AD$5&lt;=$L51,COUNTIF(휴일!$A$2:$A$20,AD$5)=0),IF($G51="선택","□","■"),"")</f>
        <v/>
      </c>
      <c r="AE51" s="37" t="str">
        <f aca="false">IF(AND(AE$5&gt;=$K51,AE$5&lt;=$L51,COUNTIF(휴일!$A$2:$A$20,AE$5)=0),IF($G51="선택","□","■"),"")</f>
        <v/>
      </c>
      <c r="AF51" s="37" t="str">
        <f aca="false">IF(AND(AF$5&gt;=$K51,AF$5&lt;=$L51,COUNTIF(휴일!$A$2:$A$20,AF$5)=0),IF($G51="선택","□","■"),"")</f>
        <v/>
      </c>
    </row>
    <row r="52" customFormat="false" ht="30" hidden="false" customHeight="true" outlineLevel="0" collapsed="false">
      <c r="B52" s="23"/>
      <c r="C52" s="24"/>
      <c r="D52" s="25"/>
      <c r="E52" s="26" t="s">
        <v>53</v>
      </c>
      <c r="F52" s="27" t="s">
        <v>191</v>
      </c>
      <c r="G52" s="28" t="s">
        <v>30</v>
      </c>
      <c r="H52" s="28" t="s">
        <v>31</v>
      </c>
      <c r="I52" s="29" t="s">
        <v>192</v>
      </c>
      <c r="J52" s="30" t="s">
        <v>193</v>
      </c>
      <c r="K52" s="31" t="n">
        <v>46325</v>
      </c>
      <c r="L52" s="31" t="n">
        <v>46328</v>
      </c>
      <c r="M52" s="31"/>
      <c r="N52" s="31"/>
      <c r="O52" s="32" t="n">
        <f aca="false">IF(OR(K52="",L52=""),0,L52-K52+1-COUNTIFS(휴일!$A$2:$A$20,"&gt;="&amp;K52,휴일!$A$2:$A$20,"&lt;="&amp;L52))</f>
        <v>2</v>
      </c>
      <c r="P52" s="32" t="n">
        <f aca="false">IF(OR(M52="",N52=""),0,N52-M52+1-COUNTIFS(휴일!$A$2:$A$20,"&gt;="&amp;M52,휴일!$A$2:$A$20,"&lt;="&amp;N52))</f>
        <v>0</v>
      </c>
      <c r="Q52" s="33" t="n">
        <f aca="false">IF(O52=0,0,MAX(0,MIN(O52,$L$1-K52+1-COUNTIFS(휴일!$A$2:$A$20,"&gt;="&amp;K52,휴일!$A$2:$A$20,"&lt;="&amp;$L$1))))</f>
        <v>0</v>
      </c>
      <c r="R52" s="33" t="n">
        <f aca="false">IF(P52=0,0,MIN(P52,O52))</f>
        <v>0</v>
      </c>
      <c r="S52" s="34" t="n">
        <f aca="false">IFERROR(Q52/O52,0)</f>
        <v>0</v>
      </c>
      <c r="T52" s="34" t="n">
        <f aca="false">IFERROR(R52/O52,0)</f>
        <v>0</v>
      </c>
      <c r="U52" s="35" t="n">
        <f aca="false">IF(OR(O52=0,R52=0),0,MIN(1,R52/O52))</f>
        <v>0</v>
      </c>
      <c r="V52" s="36" t="n">
        <f aca="false">U52-S52</f>
        <v>0</v>
      </c>
      <c r="W52" s="37" t="str">
        <f aca="false">IF(AND(W$5&gt;=$K52,W$5&lt;=$L52,COUNTIF(휴일!$A$2:$A$20,W$5)=0),IF($G52="선택","□","■"),"")</f>
        <v/>
      </c>
      <c r="X52" s="37" t="str">
        <f aca="false">IF(AND(X$5&gt;=$K52,X$5&lt;=$L52,COUNTIF(휴일!$A$2:$A$20,X$5)=0),IF($G52="선택","□","■"),"")</f>
        <v/>
      </c>
      <c r="Y52" s="37" t="str">
        <f aca="false">IF(AND(Y$5&gt;=$K52,Y$5&lt;=$L52,COUNTIF(휴일!$A$2:$A$20,Y$5)=0),IF($G52="선택","□","■"),"")</f>
        <v/>
      </c>
      <c r="Z52" s="37" t="str">
        <f aca="false">IF(AND(Z$5&gt;=$K52,Z$5&lt;=$L52,COUNTIF(휴일!$A$2:$A$20,Z$5)=0),IF($G52="선택","□","■"),"")</f>
        <v>■</v>
      </c>
      <c r="AA52" s="37" t="str">
        <f aca="false">IF(AND(AA$5&gt;=$K52,AA$5&lt;=$L52,COUNTIF(휴일!$A$2:$A$20,AA$5)=0),IF($G52="선택","□","■"),"")</f>
        <v/>
      </c>
      <c r="AB52" s="37" t="str">
        <f aca="false">IF(AND(AB$5&gt;=$K52,AB$5&lt;=$L52,COUNTIF(휴일!$A$2:$A$20,AB$5)=0),IF($G52="선택","□","■"),"")</f>
        <v/>
      </c>
      <c r="AC52" s="37" t="str">
        <f aca="false">IF(AND(AC$5&gt;=$K52,AC$5&lt;=$L52,COUNTIF(휴일!$A$2:$A$20,AC$5)=0),IF($G52="선택","□","■"),"")</f>
        <v>■</v>
      </c>
      <c r="AD52" s="37" t="str">
        <f aca="false">IF(AND(AD$5&gt;=$K52,AD$5&lt;=$L52,COUNTIF(휴일!$A$2:$A$20,AD$5)=0),IF($G52="선택","□","■"),"")</f>
        <v/>
      </c>
      <c r="AE52" s="37" t="str">
        <f aca="false">IF(AND(AE$5&gt;=$K52,AE$5&lt;=$L52,COUNTIF(휴일!$A$2:$A$20,AE$5)=0),IF($G52="선택","□","■"),"")</f>
        <v/>
      </c>
      <c r="AF52" s="37" t="str">
        <f aca="false">IF(AND(AF$5&gt;=$K52,AF$5&lt;=$L52,COUNTIF(휴일!$A$2:$A$20,AF$5)=0),IF($G52="선택","□","■"),"")</f>
        <v/>
      </c>
    </row>
    <row r="53" customFormat="false" ht="30" hidden="false" customHeight="true" outlineLevel="0" collapsed="false">
      <c r="B53" s="23"/>
      <c r="C53" s="24"/>
      <c r="D53" s="25"/>
      <c r="E53" s="26" t="s">
        <v>194</v>
      </c>
      <c r="F53" s="27" t="s">
        <v>195</v>
      </c>
      <c r="G53" s="28" t="s">
        <v>30</v>
      </c>
      <c r="H53" s="28" t="s">
        <v>31</v>
      </c>
      <c r="I53" s="29" t="s">
        <v>196</v>
      </c>
      <c r="J53" s="30" t="s">
        <v>197</v>
      </c>
      <c r="K53" s="31" t="n">
        <v>46328</v>
      </c>
      <c r="L53" s="31" t="n">
        <v>46328</v>
      </c>
      <c r="M53" s="31"/>
      <c r="N53" s="31"/>
      <c r="O53" s="32" t="n">
        <f aca="false">IF(OR(K53="",L53=""),0,L53-K53+1-COUNTIFS(휴일!$A$2:$A$20,"&gt;="&amp;K53,휴일!$A$2:$A$20,"&lt;="&amp;L53))</f>
        <v>1</v>
      </c>
      <c r="P53" s="32" t="n">
        <f aca="false">IF(OR(M53="",N53=""),0,N53-M53+1-COUNTIFS(휴일!$A$2:$A$20,"&gt;="&amp;M53,휴일!$A$2:$A$20,"&lt;="&amp;N53))</f>
        <v>0</v>
      </c>
      <c r="Q53" s="33" t="n">
        <f aca="false">IF(O53=0,0,MAX(0,MIN(O53,$L$1-K53+1-COUNTIFS(휴일!$A$2:$A$20,"&gt;="&amp;K53,휴일!$A$2:$A$20,"&lt;="&amp;$L$1))))</f>
        <v>0</v>
      </c>
      <c r="R53" s="33" t="n">
        <f aca="false">IF(P53=0,0,MIN(P53,O53))</f>
        <v>0</v>
      </c>
      <c r="S53" s="34" t="n">
        <f aca="false">IFERROR(Q53/O53,0)</f>
        <v>0</v>
      </c>
      <c r="T53" s="34" t="n">
        <f aca="false">IFERROR(R53/O53,0)</f>
        <v>0</v>
      </c>
      <c r="U53" s="35" t="n">
        <f aca="false">IF(OR(O53=0,R53=0),0,MIN(1,R53/O53))</f>
        <v>0</v>
      </c>
      <c r="V53" s="36" t="n">
        <f aca="false">U53-S53</f>
        <v>0</v>
      </c>
      <c r="W53" s="37" t="str">
        <f aca="false">IF(AND(W$5&gt;=$K53,W$5&lt;=$L53,COUNTIF(휴일!$A$2:$A$20,W$5)=0),IF($G53="선택","□","■"),"")</f>
        <v/>
      </c>
      <c r="X53" s="37" t="str">
        <f aca="false">IF(AND(X$5&gt;=$K53,X$5&lt;=$L53,COUNTIF(휴일!$A$2:$A$20,X$5)=0),IF($G53="선택","□","■"),"")</f>
        <v/>
      </c>
      <c r="Y53" s="37" t="str">
        <f aca="false">IF(AND(Y$5&gt;=$K53,Y$5&lt;=$L53,COUNTIF(휴일!$A$2:$A$20,Y$5)=0),IF($G53="선택","□","■"),"")</f>
        <v/>
      </c>
      <c r="Z53" s="37" t="str">
        <f aca="false">IF(AND(Z$5&gt;=$K53,Z$5&lt;=$L53,COUNTIF(휴일!$A$2:$A$20,Z$5)=0),IF($G53="선택","□","■"),"")</f>
        <v/>
      </c>
      <c r="AA53" s="37" t="str">
        <f aca="false">IF(AND(AA$5&gt;=$K53,AA$5&lt;=$L53,COUNTIF(휴일!$A$2:$A$20,AA$5)=0),IF($G53="선택","□","■"),"")</f>
        <v/>
      </c>
      <c r="AB53" s="37" t="str">
        <f aca="false">IF(AND(AB$5&gt;=$K53,AB$5&lt;=$L53,COUNTIF(휴일!$A$2:$A$20,AB$5)=0),IF($G53="선택","□","■"),"")</f>
        <v/>
      </c>
      <c r="AC53" s="37" t="str">
        <f aca="false">IF(AND(AC$5&gt;=$K53,AC$5&lt;=$L53,COUNTIF(휴일!$A$2:$A$20,AC$5)=0),IF($G53="선택","□","■"),"")</f>
        <v>■</v>
      </c>
      <c r="AD53" s="37" t="str">
        <f aca="false">IF(AND(AD$5&gt;=$K53,AD$5&lt;=$L53,COUNTIF(휴일!$A$2:$A$20,AD$5)=0),IF($G53="선택","□","■"),"")</f>
        <v/>
      </c>
      <c r="AE53" s="37" t="str">
        <f aca="false">IF(AND(AE$5&gt;=$K53,AE$5&lt;=$L53,COUNTIF(휴일!$A$2:$A$20,AE$5)=0),IF($G53="선택","□","■"),"")</f>
        <v/>
      </c>
      <c r="AF53" s="37" t="str">
        <f aca="false">IF(AND(AF$5&gt;=$K53,AF$5&lt;=$L53,COUNTIF(휴일!$A$2:$A$20,AF$5)=0),IF($G53="선택","□","■"),"")</f>
        <v/>
      </c>
    </row>
    <row r="54" customFormat="false" ht="30" hidden="false" customHeight="true" outlineLevel="0" collapsed="false">
      <c r="B54" s="23"/>
      <c r="C54" s="24"/>
      <c r="D54" s="25"/>
      <c r="E54" s="26" t="s">
        <v>198</v>
      </c>
      <c r="F54" s="27" t="s">
        <v>199</v>
      </c>
      <c r="G54" s="28" t="s">
        <v>30</v>
      </c>
      <c r="H54" s="28" t="s">
        <v>31</v>
      </c>
      <c r="I54" s="29" t="s">
        <v>200</v>
      </c>
      <c r="J54" s="30" t="s">
        <v>201</v>
      </c>
      <c r="K54" s="31" t="n">
        <v>46328</v>
      </c>
      <c r="L54" s="31" t="n">
        <v>46328</v>
      </c>
      <c r="M54" s="31"/>
      <c r="N54" s="31"/>
      <c r="O54" s="32" t="n">
        <f aca="false">IF(OR(K54="",L54=""),0,L54-K54+1-COUNTIFS(휴일!$A$2:$A$20,"&gt;="&amp;K54,휴일!$A$2:$A$20,"&lt;="&amp;L54))</f>
        <v>1</v>
      </c>
      <c r="P54" s="32" t="n">
        <f aca="false">IF(OR(M54="",N54=""),0,N54-M54+1-COUNTIFS(휴일!$A$2:$A$20,"&gt;="&amp;M54,휴일!$A$2:$A$20,"&lt;="&amp;N54))</f>
        <v>0</v>
      </c>
      <c r="Q54" s="33" t="n">
        <f aca="false">IF(O54=0,0,MAX(0,MIN(O54,$L$1-K54+1-COUNTIFS(휴일!$A$2:$A$20,"&gt;="&amp;K54,휴일!$A$2:$A$20,"&lt;="&amp;$L$1))))</f>
        <v>0</v>
      </c>
      <c r="R54" s="33" t="n">
        <f aca="false">IF(P54=0,0,MIN(P54,O54))</f>
        <v>0</v>
      </c>
      <c r="S54" s="34" t="n">
        <f aca="false">IFERROR(Q54/O54,0)</f>
        <v>0</v>
      </c>
      <c r="T54" s="34" t="n">
        <f aca="false">IFERROR(R54/O54,0)</f>
        <v>0</v>
      </c>
      <c r="U54" s="35" t="n">
        <f aca="false">IF(OR(O54=0,R54=0),0,MIN(1,R54/O54))</f>
        <v>0</v>
      </c>
      <c r="V54" s="36" t="n">
        <f aca="false">U54-S54</f>
        <v>0</v>
      </c>
      <c r="W54" s="37" t="str">
        <f aca="false">IF(AND(W$5&gt;=$K54,W$5&lt;=$L54,COUNTIF(휴일!$A$2:$A$20,W$5)=0),IF($G54="선택","□","■"),"")</f>
        <v/>
      </c>
      <c r="X54" s="37" t="str">
        <f aca="false">IF(AND(X$5&gt;=$K54,X$5&lt;=$L54,COUNTIF(휴일!$A$2:$A$20,X$5)=0),IF($G54="선택","□","■"),"")</f>
        <v/>
      </c>
      <c r="Y54" s="37" t="str">
        <f aca="false">IF(AND(Y$5&gt;=$K54,Y$5&lt;=$L54,COUNTIF(휴일!$A$2:$A$20,Y$5)=0),IF($G54="선택","□","■"),"")</f>
        <v/>
      </c>
      <c r="Z54" s="37" t="str">
        <f aca="false">IF(AND(Z$5&gt;=$K54,Z$5&lt;=$L54,COUNTIF(휴일!$A$2:$A$20,Z$5)=0),IF($G54="선택","□","■"),"")</f>
        <v/>
      </c>
      <c r="AA54" s="37" t="str">
        <f aca="false">IF(AND(AA$5&gt;=$K54,AA$5&lt;=$L54,COUNTIF(휴일!$A$2:$A$20,AA$5)=0),IF($G54="선택","□","■"),"")</f>
        <v/>
      </c>
      <c r="AB54" s="37" t="str">
        <f aca="false">IF(AND(AB$5&gt;=$K54,AB$5&lt;=$L54,COUNTIF(휴일!$A$2:$A$20,AB$5)=0),IF($G54="선택","□","■"),"")</f>
        <v/>
      </c>
      <c r="AC54" s="37" t="str">
        <f aca="false">IF(AND(AC$5&gt;=$K54,AC$5&lt;=$L54,COUNTIF(휴일!$A$2:$A$20,AC$5)=0),IF($G54="선택","□","■"),"")</f>
        <v>■</v>
      </c>
      <c r="AD54" s="37" t="str">
        <f aca="false">IF(AND(AD$5&gt;=$K54,AD$5&lt;=$L54,COUNTIF(휴일!$A$2:$A$20,AD$5)=0),IF($G54="선택","□","■"),"")</f>
        <v/>
      </c>
      <c r="AE54" s="37" t="str">
        <f aca="false">IF(AND(AE$5&gt;=$K54,AE$5&lt;=$L54,COUNTIF(휴일!$A$2:$A$20,AE$5)=0),IF($G54="선택","□","■"),"")</f>
        <v/>
      </c>
      <c r="AF54" s="37" t="str">
        <f aca="false">IF(AND(AF$5&gt;=$K54,AF$5&lt;=$L54,COUNTIF(휴일!$A$2:$A$20,AF$5)=0),IF($G54="선택","□","■"),"")</f>
        <v/>
      </c>
    </row>
    <row r="55" customFormat="false" ht="30" hidden="false" customHeight="true" outlineLevel="0" collapsed="false">
      <c r="B55" s="23"/>
      <c r="C55" s="24"/>
      <c r="D55" s="25"/>
      <c r="E55" s="26" t="s">
        <v>202</v>
      </c>
      <c r="F55" s="27" t="s">
        <v>203</v>
      </c>
      <c r="G55" s="28" t="s">
        <v>30</v>
      </c>
      <c r="H55" s="28" t="s">
        <v>31</v>
      </c>
      <c r="I55" s="29" t="s">
        <v>204</v>
      </c>
      <c r="J55" s="30" t="s">
        <v>205</v>
      </c>
      <c r="K55" s="31" t="n">
        <v>46325</v>
      </c>
      <c r="L55" s="31" t="n">
        <v>46325</v>
      </c>
      <c r="M55" s="31"/>
      <c r="N55" s="31"/>
      <c r="O55" s="32" t="n">
        <f aca="false">IF(OR(K55="",L55=""),0,L55-K55+1-COUNTIFS(휴일!$A$2:$A$20,"&gt;="&amp;K55,휴일!$A$2:$A$20,"&lt;="&amp;L55))</f>
        <v>1</v>
      </c>
      <c r="P55" s="32" t="n">
        <f aca="false">IF(OR(M55="",N55=""),0,N55-M55+1-COUNTIFS(휴일!$A$2:$A$20,"&gt;="&amp;M55,휴일!$A$2:$A$20,"&lt;="&amp;N55))</f>
        <v>0</v>
      </c>
      <c r="Q55" s="33" t="n">
        <f aca="false">IF(O55=0,0,MAX(0,MIN(O55,$L$1-K55+1-COUNTIFS(휴일!$A$2:$A$20,"&gt;="&amp;K55,휴일!$A$2:$A$20,"&lt;="&amp;$L$1))))</f>
        <v>0</v>
      </c>
      <c r="R55" s="33" t="n">
        <f aca="false">IF(P55=0,0,MIN(P55,O55))</f>
        <v>0</v>
      </c>
      <c r="S55" s="34" t="n">
        <f aca="false">IFERROR(Q55/O55,0)</f>
        <v>0</v>
      </c>
      <c r="T55" s="34" t="n">
        <f aca="false">IFERROR(R55/O55,0)</f>
        <v>0</v>
      </c>
      <c r="U55" s="35" t="n">
        <f aca="false">IF(OR(O55=0,R55=0),0,MIN(1,R55/O55))</f>
        <v>0</v>
      </c>
      <c r="V55" s="36" t="n">
        <f aca="false">U55-S55</f>
        <v>0</v>
      </c>
      <c r="W55" s="37" t="str">
        <f aca="false">IF(AND(W$5&gt;=$K55,W$5&lt;=$L55,COUNTIF(휴일!$A$2:$A$20,W$5)=0),IF($G55="선택","□","■"),"")</f>
        <v/>
      </c>
      <c r="X55" s="37" t="str">
        <f aca="false">IF(AND(X$5&gt;=$K55,X$5&lt;=$L55,COUNTIF(휴일!$A$2:$A$20,X$5)=0),IF($G55="선택","□","■"),"")</f>
        <v/>
      </c>
      <c r="Y55" s="37" t="str">
        <f aca="false">IF(AND(Y$5&gt;=$K55,Y$5&lt;=$L55,COUNTIF(휴일!$A$2:$A$20,Y$5)=0),IF($G55="선택","□","■"),"")</f>
        <v/>
      </c>
      <c r="Z55" s="37" t="str">
        <f aca="false">IF(AND(Z$5&gt;=$K55,Z$5&lt;=$L55,COUNTIF(휴일!$A$2:$A$20,Z$5)=0),IF($G55="선택","□","■"),"")</f>
        <v>■</v>
      </c>
      <c r="AA55" s="37" t="str">
        <f aca="false">IF(AND(AA$5&gt;=$K55,AA$5&lt;=$L55,COUNTIF(휴일!$A$2:$A$20,AA$5)=0),IF($G55="선택","□","■"),"")</f>
        <v/>
      </c>
      <c r="AB55" s="37" t="str">
        <f aca="false">IF(AND(AB$5&gt;=$K55,AB$5&lt;=$L55,COUNTIF(휴일!$A$2:$A$20,AB$5)=0),IF($G55="선택","□","■"),"")</f>
        <v/>
      </c>
      <c r="AC55" s="37" t="str">
        <f aca="false">IF(AND(AC$5&gt;=$K55,AC$5&lt;=$L55,COUNTIF(휴일!$A$2:$A$20,AC$5)=0),IF($G55="선택","□","■"),"")</f>
        <v/>
      </c>
      <c r="AD55" s="37" t="str">
        <f aca="false">IF(AND(AD$5&gt;=$K55,AD$5&lt;=$L55,COUNTIF(휴일!$A$2:$A$20,AD$5)=0),IF($G55="선택","□","■"),"")</f>
        <v/>
      </c>
      <c r="AE55" s="37" t="str">
        <f aca="false">IF(AND(AE$5&gt;=$K55,AE$5&lt;=$L55,COUNTIF(휴일!$A$2:$A$20,AE$5)=0),IF($G55="선택","□","■"),"")</f>
        <v/>
      </c>
      <c r="AF55" s="37" t="str">
        <f aca="false">IF(AND(AF$5&gt;=$K55,AF$5&lt;=$L55,COUNTIF(휴일!$A$2:$A$20,AF$5)=0),IF($G55="선택","□","■"),"")</f>
        <v/>
      </c>
    </row>
    <row r="56" customFormat="false" ht="30" hidden="false" customHeight="true" outlineLevel="0" collapsed="false">
      <c r="B56" s="23"/>
      <c r="C56" s="24"/>
      <c r="D56" s="25"/>
      <c r="E56" s="26" t="s">
        <v>206</v>
      </c>
      <c r="F56" s="27" t="s">
        <v>207</v>
      </c>
      <c r="G56" s="28" t="s">
        <v>30</v>
      </c>
      <c r="H56" s="28" t="s">
        <v>31</v>
      </c>
      <c r="I56" s="29" t="s">
        <v>208</v>
      </c>
      <c r="J56" s="30" t="s">
        <v>209</v>
      </c>
      <c r="K56" s="31" t="n">
        <v>46325</v>
      </c>
      <c r="L56" s="31" t="n">
        <v>46325</v>
      </c>
      <c r="M56" s="31"/>
      <c r="N56" s="31"/>
      <c r="O56" s="32" t="n">
        <f aca="false">IF(OR(K56="",L56=""),0,L56-K56+1-COUNTIFS(휴일!$A$2:$A$20,"&gt;="&amp;K56,휴일!$A$2:$A$20,"&lt;="&amp;L56))</f>
        <v>1</v>
      </c>
      <c r="P56" s="32" t="n">
        <f aca="false">IF(OR(M56="",N56=""),0,N56-M56+1-COUNTIFS(휴일!$A$2:$A$20,"&gt;="&amp;M56,휴일!$A$2:$A$20,"&lt;="&amp;N56))</f>
        <v>0</v>
      </c>
      <c r="Q56" s="33" t="n">
        <f aca="false">IF(O56=0,0,MAX(0,MIN(O56,$L$1-K56+1-COUNTIFS(휴일!$A$2:$A$20,"&gt;="&amp;K56,휴일!$A$2:$A$20,"&lt;="&amp;$L$1))))</f>
        <v>0</v>
      </c>
      <c r="R56" s="33" t="n">
        <f aca="false">IF(P56=0,0,MIN(P56,O56))</f>
        <v>0</v>
      </c>
      <c r="S56" s="34" t="n">
        <f aca="false">IFERROR(Q56/O56,0)</f>
        <v>0</v>
      </c>
      <c r="T56" s="34" t="n">
        <f aca="false">IFERROR(R56/O56,0)</f>
        <v>0</v>
      </c>
      <c r="U56" s="35" t="n">
        <f aca="false">IF(OR(O56=0,R56=0),0,MIN(1,R56/O56))</f>
        <v>0</v>
      </c>
      <c r="V56" s="36" t="n">
        <f aca="false">U56-S56</f>
        <v>0</v>
      </c>
      <c r="W56" s="37" t="str">
        <f aca="false">IF(AND(W$5&gt;=$K56,W$5&lt;=$L56,COUNTIF(휴일!$A$2:$A$20,W$5)=0),IF($G56="선택","□","■"),"")</f>
        <v/>
      </c>
      <c r="X56" s="37" t="str">
        <f aca="false">IF(AND(X$5&gt;=$K56,X$5&lt;=$L56,COUNTIF(휴일!$A$2:$A$20,X$5)=0),IF($G56="선택","□","■"),"")</f>
        <v/>
      </c>
      <c r="Y56" s="37" t="str">
        <f aca="false">IF(AND(Y$5&gt;=$K56,Y$5&lt;=$L56,COUNTIF(휴일!$A$2:$A$20,Y$5)=0),IF($G56="선택","□","■"),"")</f>
        <v/>
      </c>
      <c r="Z56" s="37" t="str">
        <f aca="false">IF(AND(Z$5&gt;=$K56,Z$5&lt;=$L56,COUNTIF(휴일!$A$2:$A$20,Z$5)=0),IF($G56="선택","□","■"),"")</f>
        <v>■</v>
      </c>
      <c r="AA56" s="37" t="str">
        <f aca="false">IF(AND(AA$5&gt;=$K56,AA$5&lt;=$L56,COUNTIF(휴일!$A$2:$A$20,AA$5)=0),IF($G56="선택","□","■"),"")</f>
        <v/>
      </c>
      <c r="AB56" s="37" t="str">
        <f aca="false">IF(AND(AB$5&gt;=$K56,AB$5&lt;=$L56,COUNTIF(휴일!$A$2:$A$20,AB$5)=0),IF($G56="선택","□","■"),"")</f>
        <v/>
      </c>
      <c r="AC56" s="37" t="str">
        <f aca="false">IF(AND(AC$5&gt;=$K56,AC$5&lt;=$L56,COUNTIF(휴일!$A$2:$A$20,AC$5)=0),IF($G56="선택","□","■"),"")</f>
        <v/>
      </c>
      <c r="AD56" s="37" t="str">
        <f aca="false">IF(AND(AD$5&gt;=$K56,AD$5&lt;=$L56,COUNTIF(휴일!$A$2:$A$20,AD$5)=0),IF($G56="선택","□","■"),"")</f>
        <v/>
      </c>
      <c r="AE56" s="37" t="str">
        <f aca="false">IF(AND(AE$5&gt;=$K56,AE$5&lt;=$L56,COUNTIF(휴일!$A$2:$A$20,AE$5)=0),IF($G56="선택","□","■"),"")</f>
        <v/>
      </c>
      <c r="AF56" s="37" t="str">
        <f aca="false">IF(AND(AF$5&gt;=$K56,AF$5&lt;=$L56,COUNTIF(휴일!$A$2:$A$20,AF$5)=0),IF($G56="선택","□","■"),"")</f>
        <v/>
      </c>
    </row>
    <row r="57" customFormat="false" ht="30" hidden="false" customHeight="true" outlineLevel="0" collapsed="false">
      <c r="B57" s="23"/>
      <c r="C57" s="24"/>
      <c r="D57" s="25"/>
      <c r="E57" s="26" t="s">
        <v>206</v>
      </c>
      <c r="F57" s="27" t="s">
        <v>210</v>
      </c>
      <c r="G57" s="28" t="s">
        <v>30</v>
      </c>
      <c r="H57" s="28" t="s">
        <v>31</v>
      </c>
      <c r="I57" s="29" t="s">
        <v>211</v>
      </c>
      <c r="J57" s="30" t="s">
        <v>212</v>
      </c>
      <c r="K57" s="31" t="n">
        <v>46328</v>
      </c>
      <c r="L57" s="31" t="n">
        <v>46328</v>
      </c>
      <c r="M57" s="31"/>
      <c r="N57" s="31"/>
      <c r="O57" s="32" t="n">
        <f aca="false">IF(OR(K57="",L57=""),0,L57-K57+1-COUNTIFS(휴일!$A$2:$A$20,"&gt;="&amp;K57,휴일!$A$2:$A$20,"&lt;="&amp;L57))</f>
        <v>1</v>
      </c>
      <c r="P57" s="32" t="n">
        <f aca="false">IF(OR(M57="",N57=""),0,N57-M57+1-COUNTIFS(휴일!$A$2:$A$20,"&gt;="&amp;M57,휴일!$A$2:$A$20,"&lt;="&amp;N57))</f>
        <v>0</v>
      </c>
      <c r="Q57" s="33" t="n">
        <f aca="false">IF(O57=0,0,MAX(0,MIN(O57,$L$1-K57+1-COUNTIFS(휴일!$A$2:$A$20,"&gt;="&amp;K57,휴일!$A$2:$A$20,"&lt;="&amp;$L$1))))</f>
        <v>0</v>
      </c>
      <c r="R57" s="33" t="n">
        <f aca="false">IF(P57=0,0,MIN(P57,O57))</f>
        <v>0</v>
      </c>
      <c r="S57" s="34" t="n">
        <f aca="false">IFERROR(Q57/O57,0)</f>
        <v>0</v>
      </c>
      <c r="T57" s="34" t="n">
        <f aca="false">IFERROR(R57/O57,0)</f>
        <v>0</v>
      </c>
      <c r="U57" s="35" t="n">
        <f aca="false">IF(OR(O57=0,R57=0),0,MIN(1,R57/O57))</f>
        <v>0</v>
      </c>
      <c r="V57" s="36" t="n">
        <f aca="false">U57-S57</f>
        <v>0</v>
      </c>
      <c r="W57" s="37" t="str">
        <f aca="false">IF(AND(W$5&gt;=$K57,W$5&lt;=$L57,COUNTIF(휴일!$A$2:$A$20,W$5)=0),IF($G57="선택","□","■"),"")</f>
        <v/>
      </c>
      <c r="X57" s="37" t="str">
        <f aca="false">IF(AND(X$5&gt;=$K57,X$5&lt;=$L57,COUNTIF(휴일!$A$2:$A$20,X$5)=0),IF($G57="선택","□","■"),"")</f>
        <v/>
      </c>
      <c r="Y57" s="37" t="str">
        <f aca="false">IF(AND(Y$5&gt;=$K57,Y$5&lt;=$L57,COUNTIF(휴일!$A$2:$A$20,Y$5)=0),IF($G57="선택","□","■"),"")</f>
        <v/>
      </c>
      <c r="Z57" s="37" t="str">
        <f aca="false">IF(AND(Z$5&gt;=$K57,Z$5&lt;=$L57,COUNTIF(휴일!$A$2:$A$20,Z$5)=0),IF($G57="선택","□","■"),"")</f>
        <v/>
      </c>
      <c r="AA57" s="37" t="str">
        <f aca="false">IF(AND(AA$5&gt;=$K57,AA$5&lt;=$L57,COUNTIF(휴일!$A$2:$A$20,AA$5)=0),IF($G57="선택","□","■"),"")</f>
        <v/>
      </c>
      <c r="AB57" s="37" t="str">
        <f aca="false">IF(AND(AB$5&gt;=$K57,AB$5&lt;=$L57,COUNTIF(휴일!$A$2:$A$20,AB$5)=0),IF($G57="선택","□","■"),"")</f>
        <v/>
      </c>
      <c r="AC57" s="37" t="str">
        <f aca="false">IF(AND(AC$5&gt;=$K57,AC$5&lt;=$L57,COUNTIF(휴일!$A$2:$A$20,AC$5)=0),IF($G57="선택","□","■"),"")</f>
        <v>■</v>
      </c>
      <c r="AD57" s="37" t="str">
        <f aca="false">IF(AND(AD$5&gt;=$K57,AD$5&lt;=$L57,COUNTIF(휴일!$A$2:$A$20,AD$5)=0),IF($G57="선택","□","■"),"")</f>
        <v/>
      </c>
      <c r="AE57" s="37" t="str">
        <f aca="false">IF(AND(AE$5&gt;=$K57,AE$5&lt;=$L57,COUNTIF(휴일!$A$2:$A$20,AE$5)=0),IF($G57="선택","□","■"),"")</f>
        <v/>
      </c>
      <c r="AF57" s="37" t="str">
        <f aca="false">IF(AND(AF$5&gt;=$K57,AF$5&lt;=$L57,COUNTIF(휴일!$A$2:$A$20,AF$5)=0),IF($G57="선택","□","■"),"")</f>
        <v/>
      </c>
    </row>
    <row r="58" customFormat="false" ht="30" hidden="false" customHeight="true" outlineLevel="0" collapsed="false">
      <c r="B58" s="23"/>
      <c r="C58" s="24"/>
      <c r="D58" s="25"/>
      <c r="E58" s="26" t="s">
        <v>213</v>
      </c>
      <c r="F58" s="27" t="s">
        <v>214</v>
      </c>
      <c r="G58" s="28" t="s">
        <v>30</v>
      </c>
      <c r="H58" s="28" t="s">
        <v>31</v>
      </c>
      <c r="I58" s="29" t="s">
        <v>215</v>
      </c>
      <c r="J58" s="30" t="s">
        <v>216</v>
      </c>
      <c r="K58" s="31" t="n">
        <v>46325</v>
      </c>
      <c r="L58" s="31" t="n">
        <v>46325</v>
      </c>
      <c r="M58" s="31"/>
      <c r="N58" s="31"/>
      <c r="O58" s="32" t="n">
        <f aca="false">IF(OR(K58="",L58=""),0,L58-K58+1-COUNTIFS(휴일!$A$2:$A$20,"&gt;="&amp;K58,휴일!$A$2:$A$20,"&lt;="&amp;L58))</f>
        <v>1</v>
      </c>
      <c r="P58" s="32" t="n">
        <f aca="false">IF(OR(M58="",N58=""),0,N58-M58+1-COUNTIFS(휴일!$A$2:$A$20,"&gt;="&amp;M58,휴일!$A$2:$A$20,"&lt;="&amp;N58))</f>
        <v>0</v>
      </c>
      <c r="Q58" s="33" t="n">
        <f aca="false">IF(O58=0,0,MAX(0,MIN(O58,$L$1-K58+1-COUNTIFS(휴일!$A$2:$A$20,"&gt;="&amp;K58,휴일!$A$2:$A$20,"&lt;="&amp;$L$1))))</f>
        <v>0</v>
      </c>
      <c r="R58" s="33" t="n">
        <f aca="false">IF(P58=0,0,MIN(P58,O58))</f>
        <v>0</v>
      </c>
      <c r="S58" s="34" t="n">
        <f aca="false">IFERROR(Q58/O58,0)</f>
        <v>0</v>
      </c>
      <c r="T58" s="34" t="n">
        <f aca="false">IFERROR(R58/O58,0)</f>
        <v>0</v>
      </c>
      <c r="U58" s="35" t="n">
        <f aca="false">IF(OR(O58=0,R58=0),0,MIN(1,R58/O58))</f>
        <v>0</v>
      </c>
      <c r="V58" s="36" t="n">
        <f aca="false">U58-S58</f>
        <v>0</v>
      </c>
      <c r="W58" s="37" t="str">
        <f aca="false">IF(AND(W$5&gt;=$K58,W$5&lt;=$L58,COUNTIF(휴일!$A$2:$A$20,W$5)=0),IF($G58="선택","□","■"),"")</f>
        <v/>
      </c>
      <c r="X58" s="37" t="str">
        <f aca="false">IF(AND(X$5&gt;=$K58,X$5&lt;=$L58,COUNTIF(휴일!$A$2:$A$20,X$5)=0),IF($G58="선택","□","■"),"")</f>
        <v/>
      </c>
      <c r="Y58" s="37" t="str">
        <f aca="false">IF(AND(Y$5&gt;=$K58,Y$5&lt;=$L58,COUNTIF(휴일!$A$2:$A$20,Y$5)=0),IF($G58="선택","□","■"),"")</f>
        <v/>
      </c>
      <c r="Z58" s="37" t="str">
        <f aca="false">IF(AND(Z$5&gt;=$K58,Z$5&lt;=$L58,COUNTIF(휴일!$A$2:$A$20,Z$5)=0),IF($G58="선택","□","■"),"")</f>
        <v>■</v>
      </c>
      <c r="AA58" s="37" t="str">
        <f aca="false">IF(AND(AA$5&gt;=$K58,AA$5&lt;=$L58,COUNTIF(휴일!$A$2:$A$20,AA$5)=0),IF($G58="선택","□","■"),"")</f>
        <v/>
      </c>
      <c r="AB58" s="37" t="str">
        <f aca="false">IF(AND(AB$5&gt;=$K58,AB$5&lt;=$L58,COUNTIF(휴일!$A$2:$A$20,AB$5)=0),IF($G58="선택","□","■"),"")</f>
        <v/>
      </c>
      <c r="AC58" s="37" t="str">
        <f aca="false">IF(AND(AC$5&gt;=$K58,AC$5&lt;=$L58,COUNTIF(휴일!$A$2:$A$20,AC$5)=0),IF($G58="선택","□","■"),"")</f>
        <v/>
      </c>
      <c r="AD58" s="37" t="str">
        <f aca="false">IF(AND(AD$5&gt;=$K58,AD$5&lt;=$L58,COUNTIF(휴일!$A$2:$A$20,AD$5)=0),IF($G58="선택","□","■"),"")</f>
        <v/>
      </c>
      <c r="AE58" s="37" t="str">
        <f aca="false">IF(AND(AE$5&gt;=$K58,AE$5&lt;=$L58,COUNTIF(휴일!$A$2:$A$20,AE$5)=0),IF($G58="선택","□","■"),"")</f>
        <v/>
      </c>
      <c r="AF58" s="37" t="str">
        <f aca="false">IF(AND(AF$5&gt;=$K58,AF$5&lt;=$L58,COUNTIF(휴일!$A$2:$A$20,AF$5)=0),IF($G58="선택","□","■"),"")</f>
        <v/>
      </c>
    </row>
    <row r="59" customFormat="false" ht="30" hidden="false" customHeight="true" outlineLevel="0" collapsed="false">
      <c r="B59" s="23"/>
      <c r="C59" s="24"/>
      <c r="D59" s="25"/>
      <c r="E59" s="26" t="s">
        <v>213</v>
      </c>
      <c r="F59" s="27" t="s">
        <v>217</v>
      </c>
      <c r="G59" s="28" t="s">
        <v>30</v>
      </c>
      <c r="H59" s="28" t="s">
        <v>31</v>
      </c>
      <c r="I59" s="29" t="s">
        <v>218</v>
      </c>
      <c r="J59" s="30" t="s">
        <v>219</v>
      </c>
      <c r="K59" s="31" t="n">
        <v>46325</v>
      </c>
      <c r="L59" s="31" t="n">
        <v>46325</v>
      </c>
      <c r="M59" s="31"/>
      <c r="N59" s="31"/>
      <c r="O59" s="32" t="n">
        <f aca="false">IF(OR(K59="",L59=""),0,L59-K59+1-COUNTIFS(휴일!$A$2:$A$20,"&gt;="&amp;K59,휴일!$A$2:$A$20,"&lt;="&amp;L59))</f>
        <v>1</v>
      </c>
      <c r="P59" s="32" t="n">
        <f aca="false">IF(OR(M59="",N59=""),0,N59-M59+1-COUNTIFS(휴일!$A$2:$A$20,"&gt;="&amp;M59,휴일!$A$2:$A$20,"&lt;="&amp;N59))</f>
        <v>0</v>
      </c>
      <c r="Q59" s="33" t="n">
        <f aca="false">IF(O59=0,0,MAX(0,MIN(O59,$L$1-K59+1-COUNTIFS(휴일!$A$2:$A$20,"&gt;="&amp;K59,휴일!$A$2:$A$20,"&lt;="&amp;$L$1))))</f>
        <v>0</v>
      </c>
      <c r="R59" s="33" t="n">
        <f aca="false">IF(P59=0,0,MIN(P59,O59))</f>
        <v>0</v>
      </c>
      <c r="S59" s="34" t="n">
        <f aca="false">IFERROR(Q59/O59,0)</f>
        <v>0</v>
      </c>
      <c r="T59" s="34" t="n">
        <f aca="false">IFERROR(R59/O59,0)</f>
        <v>0</v>
      </c>
      <c r="U59" s="35" t="n">
        <f aca="false">IF(OR(O59=0,R59=0),0,MIN(1,R59/O59))</f>
        <v>0</v>
      </c>
      <c r="V59" s="36" t="n">
        <f aca="false">U59-S59</f>
        <v>0</v>
      </c>
      <c r="W59" s="37" t="str">
        <f aca="false">IF(AND(W$5&gt;=$K59,W$5&lt;=$L59,COUNTIF(휴일!$A$2:$A$20,W$5)=0),IF($G59="선택","□","■"),"")</f>
        <v/>
      </c>
      <c r="X59" s="37" t="str">
        <f aca="false">IF(AND(X$5&gt;=$K59,X$5&lt;=$L59,COUNTIF(휴일!$A$2:$A$20,X$5)=0),IF($G59="선택","□","■"),"")</f>
        <v/>
      </c>
      <c r="Y59" s="37" t="str">
        <f aca="false">IF(AND(Y$5&gt;=$K59,Y$5&lt;=$L59,COUNTIF(휴일!$A$2:$A$20,Y$5)=0),IF($G59="선택","□","■"),"")</f>
        <v/>
      </c>
      <c r="Z59" s="37" t="str">
        <f aca="false">IF(AND(Z$5&gt;=$K59,Z$5&lt;=$L59,COUNTIF(휴일!$A$2:$A$20,Z$5)=0),IF($G59="선택","□","■"),"")</f>
        <v>■</v>
      </c>
      <c r="AA59" s="37" t="str">
        <f aca="false">IF(AND(AA$5&gt;=$K59,AA$5&lt;=$L59,COUNTIF(휴일!$A$2:$A$20,AA$5)=0),IF($G59="선택","□","■"),"")</f>
        <v/>
      </c>
      <c r="AB59" s="37" t="str">
        <f aca="false">IF(AND(AB$5&gt;=$K59,AB$5&lt;=$L59,COUNTIF(휴일!$A$2:$A$20,AB$5)=0),IF($G59="선택","□","■"),"")</f>
        <v/>
      </c>
      <c r="AC59" s="37" t="str">
        <f aca="false">IF(AND(AC$5&gt;=$K59,AC$5&lt;=$L59,COUNTIF(휴일!$A$2:$A$20,AC$5)=0),IF($G59="선택","□","■"),"")</f>
        <v/>
      </c>
      <c r="AD59" s="37" t="str">
        <f aca="false">IF(AND(AD$5&gt;=$K59,AD$5&lt;=$L59,COUNTIF(휴일!$A$2:$A$20,AD$5)=0),IF($G59="선택","□","■"),"")</f>
        <v/>
      </c>
      <c r="AE59" s="37" t="str">
        <f aca="false">IF(AND(AE$5&gt;=$K59,AE$5&lt;=$L59,COUNTIF(휴일!$A$2:$A$20,AE$5)=0),IF($G59="선택","□","■"),"")</f>
        <v/>
      </c>
      <c r="AF59" s="37" t="str">
        <f aca="false">IF(AND(AF$5&gt;=$K59,AF$5&lt;=$L59,COUNTIF(휴일!$A$2:$A$20,AF$5)=0),IF($G59="선택","□","■"),"")</f>
        <v/>
      </c>
    </row>
    <row r="60" customFormat="false" ht="30" hidden="false" customHeight="true" outlineLevel="0" collapsed="false">
      <c r="B60" s="23"/>
      <c r="C60" s="24"/>
      <c r="D60" s="25"/>
      <c r="E60" s="26" t="s">
        <v>220</v>
      </c>
      <c r="F60" s="27" t="s">
        <v>221</v>
      </c>
      <c r="G60" s="28" t="s">
        <v>30</v>
      </c>
      <c r="H60" s="28" t="s">
        <v>31</v>
      </c>
      <c r="I60" s="29" t="s">
        <v>222</v>
      </c>
      <c r="J60" s="30" t="s">
        <v>223</v>
      </c>
      <c r="K60" s="31" t="n">
        <v>46328</v>
      </c>
      <c r="L60" s="31" t="n">
        <v>46328</v>
      </c>
      <c r="M60" s="31"/>
      <c r="N60" s="31"/>
      <c r="O60" s="32" t="n">
        <f aca="false">IF(OR(K60="",L60=""),0,L60-K60+1-COUNTIFS(휴일!$A$2:$A$20,"&gt;="&amp;K60,휴일!$A$2:$A$20,"&lt;="&amp;L60))</f>
        <v>1</v>
      </c>
      <c r="P60" s="32" t="n">
        <f aca="false">IF(OR(M60="",N60=""),0,N60-M60+1-COUNTIFS(휴일!$A$2:$A$20,"&gt;="&amp;M60,휴일!$A$2:$A$20,"&lt;="&amp;N60))</f>
        <v>0</v>
      </c>
      <c r="Q60" s="33" t="n">
        <f aca="false">IF(O60=0,0,MAX(0,MIN(O60,$L$1-K60+1-COUNTIFS(휴일!$A$2:$A$20,"&gt;="&amp;K60,휴일!$A$2:$A$20,"&lt;="&amp;$L$1))))</f>
        <v>0</v>
      </c>
      <c r="R60" s="33" t="n">
        <f aca="false">IF(P60=0,0,MIN(P60,O60))</f>
        <v>0</v>
      </c>
      <c r="S60" s="34" t="n">
        <f aca="false">IFERROR(Q60/O60,0)</f>
        <v>0</v>
      </c>
      <c r="T60" s="34" t="n">
        <f aca="false">IFERROR(R60/O60,0)</f>
        <v>0</v>
      </c>
      <c r="U60" s="35" t="n">
        <f aca="false">IF(OR(O60=0,R60=0),0,MIN(1,R60/O60))</f>
        <v>0</v>
      </c>
      <c r="V60" s="36" t="n">
        <f aca="false">U60-S60</f>
        <v>0</v>
      </c>
      <c r="W60" s="37" t="str">
        <f aca="false">IF(AND(W$5&gt;=$K60,W$5&lt;=$L60,COUNTIF(휴일!$A$2:$A$20,W$5)=0),IF($G60="선택","□","■"),"")</f>
        <v/>
      </c>
      <c r="X60" s="37" t="str">
        <f aca="false">IF(AND(X$5&gt;=$K60,X$5&lt;=$L60,COUNTIF(휴일!$A$2:$A$20,X$5)=0),IF($G60="선택","□","■"),"")</f>
        <v/>
      </c>
      <c r="Y60" s="37" t="str">
        <f aca="false">IF(AND(Y$5&gt;=$K60,Y$5&lt;=$L60,COUNTIF(휴일!$A$2:$A$20,Y$5)=0),IF($G60="선택","□","■"),"")</f>
        <v/>
      </c>
      <c r="Z60" s="37" t="str">
        <f aca="false">IF(AND(Z$5&gt;=$K60,Z$5&lt;=$L60,COUNTIF(휴일!$A$2:$A$20,Z$5)=0),IF($G60="선택","□","■"),"")</f>
        <v/>
      </c>
      <c r="AA60" s="37" t="str">
        <f aca="false">IF(AND(AA$5&gt;=$K60,AA$5&lt;=$L60,COUNTIF(휴일!$A$2:$A$20,AA$5)=0),IF($G60="선택","□","■"),"")</f>
        <v/>
      </c>
      <c r="AB60" s="37" t="str">
        <f aca="false">IF(AND(AB$5&gt;=$K60,AB$5&lt;=$L60,COUNTIF(휴일!$A$2:$A$20,AB$5)=0),IF($G60="선택","□","■"),"")</f>
        <v/>
      </c>
      <c r="AC60" s="37" t="str">
        <f aca="false">IF(AND(AC$5&gt;=$K60,AC$5&lt;=$L60,COUNTIF(휴일!$A$2:$A$20,AC$5)=0),IF($G60="선택","□","■"),"")</f>
        <v>■</v>
      </c>
      <c r="AD60" s="37" t="str">
        <f aca="false">IF(AND(AD$5&gt;=$K60,AD$5&lt;=$L60,COUNTIF(휴일!$A$2:$A$20,AD$5)=0),IF($G60="선택","□","■"),"")</f>
        <v/>
      </c>
      <c r="AE60" s="37" t="str">
        <f aca="false">IF(AND(AE$5&gt;=$K60,AE$5&lt;=$L60,COUNTIF(휴일!$A$2:$A$20,AE$5)=0),IF($G60="선택","□","■"),"")</f>
        <v/>
      </c>
      <c r="AF60" s="37" t="str">
        <f aca="false">IF(AND(AF$5&gt;=$K60,AF$5&lt;=$L60,COUNTIF(휴일!$A$2:$A$20,AF$5)=0),IF($G60="선택","□","■"),"")</f>
        <v/>
      </c>
    </row>
    <row r="61" customFormat="false" ht="30" hidden="false" customHeight="true" outlineLevel="0" collapsed="false">
      <c r="B61" s="23"/>
      <c r="C61" s="24"/>
      <c r="D61" s="25"/>
      <c r="E61" s="26" t="s">
        <v>220</v>
      </c>
      <c r="F61" s="27" t="s">
        <v>224</v>
      </c>
      <c r="G61" s="28" t="s">
        <v>30</v>
      </c>
      <c r="H61" s="28" t="s">
        <v>31</v>
      </c>
      <c r="I61" s="29" t="s">
        <v>225</v>
      </c>
      <c r="J61" s="30" t="s">
        <v>226</v>
      </c>
      <c r="K61" s="31" t="n">
        <v>46328</v>
      </c>
      <c r="L61" s="31" t="n">
        <v>46328</v>
      </c>
      <c r="M61" s="31"/>
      <c r="N61" s="31"/>
      <c r="O61" s="32" t="n">
        <f aca="false">IF(OR(K61="",L61=""),0,L61-K61+1-COUNTIFS(휴일!$A$2:$A$20,"&gt;="&amp;K61,휴일!$A$2:$A$20,"&lt;="&amp;L61))</f>
        <v>1</v>
      </c>
      <c r="P61" s="32" t="n">
        <f aca="false">IF(OR(M61="",N61=""),0,N61-M61+1-COUNTIFS(휴일!$A$2:$A$20,"&gt;="&amp;M61,휴일!$A$2:$A$20,"&lt;="&amp;N61))</f>
        <v>0</v>
      </c>
      <c r="Q61" s="33" t="n">
        <f aca="false">IF(O61=0,0,MAX(0,MIN(O61,$L$1-K61+1-COUNTIFS(휴일!$A$2:$A$20,"&gt;="&amp;K61,휴일!$A$2:$A$20,"&lt;="&amp;$L$1))))</f>
        <v>0</v>
      </c>
      <c r="R61" s="33" t="n">
        <f aca="false">IF(P61=0,0,MIN(P61,O61))</f>
        <v>0</v>
      </c>
      <c r="S61" s="34" t="n">
        <f aca="false">IFERROR(Q61/O61,0)</f>
        <v>0</v>
      </c>
      <c r="T61" s="34" t="n">
        <f aca="false">IFERROR(R61/O61,0)</f>
        <v>0</v>
      </c>
      <c r="U61" s="35" t="n">
        <f aca="false">IF(OR(O61=0,R61=0),0,MIN(1,R61/O61))</f>
        <v>0</v>
      </c>
      <c r="V61" s="36" t="n">
        <f aca="false">U61-S61</f>
        <v>0</v>
      </c>
      <c r="W61" s="37" t="str">
        <f aca="false">IF(AND(W$5&gt;=$K61,W$5&lt;=$L61,COUNTIF(휴일!$A$2:$A$20,W$5)=0),IF($G61="선택","□","■"),"")</f>
        <v/>
      </c>
      <c r="X61" s="37" t="str">
        <f aca="false">IF(AND(X$5&gt;=$K61,X$5&lt;=$L61,COUNTIF(휴일!$A$2:$A$20,X$5)=0),IF($G61="선택","□","■"),"")</f>
        <v/>
      </c>
      <c r="Y61" s="37" t="str">
        <f aca="false">IF(AND(Y$5&gt;=$K61,Y$5&lt;=$L61,COUNTIF(휴일!$A$2:$A$20,Y$5)=0),IF($G61="선택","□","■"),"")</f>
        <v/>
      </c>
      <c r="Z61" s="37" t="str">
        <f aca="false">IF(AND(Z$5&gt;=$K61,Z$5&lt;=$L61,COUNTIF(휴일!$A$2:$A$20,Z$5)=0),IF($G61="선택","□","■"),"")</f>
        <v/>
      </c>
      <c r="AA61" s="37" t="str">
        <f aca="false">IF(AND(AA$5&gt;=$K61,AA$5&lt;=$L61,COUNTIF(휴일!$A$2:$A$20,AA$5)=0),IF($G61="선택","□","■"),"")</f>
        <v/>
      </c>
      <c r="AB61" s="37" t="str">
        <f aca="false">IF(AND(AB$5&gt;=$K61,AB$5&lt;=$L61,COUNTIF(휴일!$A$2:$A$20,AB$5)=0),IF($G61="선택","□","■"),"")</f>
        <v/>
      </c>
      <c r="AC61" s="37" t="str">
        <f aca="false">IF(AND(AC$5&gt;=$K61,AC$5&lt;=$L61,COUNTIF(휴일!$A$2:$A$20,AC$5)=0),IF($G61="선택","□","■"),"")</f>
        <v>■</v>
      </c>
      <c r="AD61" s="37" t="str">
        <f aca="false">IF(AND(AD$5&gt;=$K61,AD$5&lt;=$L61,COUNTIF(휴일!$A$2:$A$20,AD$5)=0),IF($G61="선택","□","■"),"")</f>
        <v/>
      </c>
      <c r="AE61" s="37" t="str">
        <f aca="false">IF(AND(AE$5&gt;=$K61,AE$5&lt;=$L61,COUNTIF(휴일!$A$2:$A$20,AE$5)=0),IF($G61="선택","□","■"),"")</f>
        <v/>
      </c>
      <c r="AF61" s="37" t="str">
        <f aca="false">IF(AND(AF$5&gt;=$K61,AF$5&lt;=$L61,COUNTIF(휴일!$A$2:$A$20,AF$5)=0),IF($G61="선택","□","■"),"")</f>
        <v/>
      </c>
    </row>
    <row r="62" customFormat="false" ht="30" hidden="false" customHeight="true" outlineLevel="0" collapsed="false">
      <c r="B62" s="23"/>
      <c r="C62" s="24"/>
      <c r="D62" s="25"/>
      <c r="E62" s="26" t="s">
        <v>227</v>
      </c>
      <c r="F62" s="27" t="s">
        <v>228</v>
      </c>
      <c r="G62" s="28" t="s">
        <v>30</v>
      </c>
      <c r="H62" s="28" t="s">
        <v>31</v>
      </c>
      <c r="I62" s="29" t="s">
        <v>229</v>
      </c>
      <c r="J62" s="30" t="s">
        <v>230</v>
      </c>
      <c r="K62" s="31" t="n">
        <v>46328</v>
      </c>
      <c r="L62" s="31" t="n">
        <v>46328</v>
      </c>
      <c r="M62" s="31"/>
      <c r="N62" s="31"/>
      <c r="O62" s="32" t="n">
        <f aca="false">IF(OR(K62="",L62=""),0,L62-K62+1-COUNTIFS(휴일!$A$2:$A$20,"&gt;="&amp;K62,휴일!$A$2:$A$20,"&lt;="&amp;L62))</f>
        <v>1</v>
      </c>
      <c r="P62" s="32" t="n">
        <f aca="false">IF(OR(M62="",N62=""),0,N62-M62+1-COUNTIFS(휴일!$A$2:$A$20,"&gt;="&amp;M62,휴일!$A$2:$A$20,"&lt;="&amp;N62))</f>
        <v>0</v>
      </c>
      <c r="Q62" s="33" t="n">
        <f aca="false">IF(O62=0,0,MAX(0,MIN(O62,$L$1-K62+1-COUNTIFS(휴일!$A$2:$A$20,"&gt;="&amp;K62,휴일!$A$2:$A$20,"&lt;="&amp;$L$1))))</f>
        <v>0</v>
      </c>
      <c r="R62" s="33" t="n">
        <f aca="false">IF(P62=0,0,MIN(P62,O62))</f>
        <v>0</v>
      </c>
      <c r="S62" s="34" t="n">
        <f aca="false">IFERROR(Q62/O62,0)</f>
        <v>0</v>
      </c>
      <c r="T62" s="34" t="n">
        <f aca="false">IFERROR(R62/O62,0)</f>
        <v>0</v>
      </c>
      <c r="U62" s="35" t="n">
        <f aca="false">IF(OR(O62=0,R62=0),0,MIN(1,R62/O62))</f>
        <v>0</v>
      </c>
      <c r="V62" s="36" t="n">
        <f aca="false">U62-S62</f>
        <v>0</v>
      </c>
      <c r="W62" s="37" t="str">
        <f aca="false">IF(AND(W$5&gt;=$K62,W$5&lt;=$L62,COUNTIF(휴일!$A$2:$A$20,W$5)=0),IF($G62="선택","□","■"),"")</f>
        <v/>
      </c>
      <c r="X62" s="37" t="str">
        <f aca="false">IF(AND(X$5&gt;=$K62,X$5&lt;=$L62,COUNTIF(휴일!$A$2:$A$20,X$5)=0),IF($G62="선택","□","■"),"")</f>
        <v/>
      </c>
      <c r="Y62" s="37" t="str">
        <f aca="false">IF(AND(Y$5&gt;=$K62,Y$5&lt;=$L62,COUNTIF(휴일!$A$2:$A$20,Y$5)=0),IF($G62="선택","□","■"),"")</f>
        <v/>
      </c>
      <c r="Z62" s="37" t="str">
        <f aca="false">IF(AND(Z$5&gt;=$K62,Z$5&lt;=$L62,COUNTIF(휴일!$A$2:$A$20,Z$5)=0),IF($G62="선택","□","■"),"")</f>
        <v/>
      </c>
      <c r="AA62" s="37" t="str">
        <f aca="false">IF(AND(AA$5&gt;=$K62,AA$5&lt;=$L62,COUNTIF(휴일!$A$2:$A$20,AA$5)=0),IF($G62="선택","□","■"),"")</f>
        <v/>
      </c>
      <c r="AB62" s="37" t="str">
        <f aca="false">IF(AND(AB$5&gt;=$K62,AB$5&lt;=$L62,COUNTIF(휴일!$A$2:$A$20,AB$5)=0),IF($G62="선택","□","■"),"")</f>
        <v/>
      </c>
      <c r="AC62" s="37" t="str">
        <f aca="false">IF(AND(AC$5&gt;=$K62,AC$5&lt;=$L62,COUNTIF(휴일!$A$2:$A$20,AC$5)=0),IF($G62="선택","□","■"),"")</f>
        <v>■</v>
      </c>
      <c r="AD62" s="37" t="str">
        <f aca="false">IF(AND(AD$5&gt;=$K62,AD$5&lt;=$L62,COUNTIF(휴일!$A$2:$A$20,AD$5)=0),IF($G62="선택","□","■"),"")</f>
        <v/>
      </c>
      <c r="AE62" s="37" t="str">
        <f aca="false">IF(AND(AE$5&gt;=$K62,AE$5&lt;=$L62,COUNTIF(휴일!$A$2:$A$20,AE$5)=0),IF($G62="선택","□","■"),"")</f>
        <v/>
      </c>
      <c r="AF62" s="37" t="str">
        <f aca="false">IF(AND(AF$5&gt;=$K62,AF$5&lt;=$L62,COUNTIF(휴일!$A$2:$A$20,AF$5)=0),IF($G62="선택","□","■"),"")</f>
        <v/>
      </c>
    </row>
    <row r="63" customFormat="false" ht="30" hidden="false" customHeight="true" outlineLevel="0" collapsed="false">
      <c r="B63" s="23"/>
      <c r="C63" s="24"/>
      <c r="D63" s="25"/>
      <c r="E63" s="26" t="s">
        <v>231</v>
      </c>
      <c r="F63" s="27" t="s">
        <v>232</v>
      </c>
      <c r="G63" s="28" t="s">
        <v>30</v>
      </c>
      <c r="H63" s="28" t="s">
        <v>31</v>
      </c>
      <c r="I63" s="29" t="s">
        <v>233</v>
      </c>
      <c r="J63" s="30" t="s">
        <v>234</v>
      </c>
      <c r="K63" s="31" t="n">
        <v>46328</v>
      </c>
      <c r="L63" s="31" t="n">
        <v>46328</v>
      </c>
      <c r="M63" s="31"/>
      <c r="N63" s="31"/>
      <c r="O63" s="32" t="n">
        <f aca="false">IF(OR(K63="",L63=""),0,L63-K63+1-COUNTIFS(휴일!$A$2:$A$20,"&gt;="&amp;K63,휴일!$A$2:$A$20,"&lt;="&amp;L63))</f>
        <v>1</v>
      </c>
      <c r="P63" s="32" t="n">
        <f aca="false">IF(OR(M63="",N63=""),0,N63-M63+1-COUNTIFS(휴일!$A$2:$A$20,"&gt;="&amp;M63,휴일!$A$2:$A$20,"&lt;="&amp;N63))</f>
        <v>0</v>
      </c>
      <c r="Q63" s="33" t="n">
        <f aca="false">IF(O63=0,0,MAX(0,MIN(O63,$L$1-K63+1-COUNTIFS(휴일!$A$2:$A$20,"&gt;="&amp;K63,휴일!$A$2:$A$20,"&lt;="&amp;$L$1))))</f>
        <v>0</v>
      </c>
      <c r="R63" s="33" t="n">
        <f aca="false">IF(P63=0,0,MIN(P63,O63))</f>
        <v>0</v>
      </c>
      <c r="S63" s="34" t="n">
        <f aca="false">IFERROR(Q63/O63,0)</f>
        <v>0</v>
      </c>
      <c r="T63" s="34" t="n">
        <f aca="false">IFERROR(R63/O63,0)</f>
        <v>0</v>
      </c>
      <c r="U63" s="35" t="n">
        <f aca="false">IF(OR(O63=0,R63=0),0,MIN(1,R63/O63))</f>
        <v>0</v>
      </c>
      <c r="V63" s="36" t="n">
        <f aca="false">U63-S63</f>
        <v>0</v>
      </c>
      <c r="W63" s="37" t="str">
        <f aca="false">IF(AND(W$5&gt;=$K63,W$5&lt;=$L63,COUNTIF(휴일!$A$2:$A$20,W$5)=0),IF($G63="선택","□","■"),"")</f>
        <v/>
      </c>
      <c r="X63" s="37" t="str">
        <f aca="false">IF(AND(X$5&gt;=$K63,X$5&lt;=$L63,COUNTIF(휴일!$A$2:$A$20,X$5)=0),IF($G63="선택","□","■"),"")</f>
        <v/>
      </c>
      <c r="Y63" s="37" t="str">
        <f aca="false">IF(AND(Y$5&gt;=$K63,Y$5&lt;=$L63,COUNTIF(휴일!$A$2:$A$20,Y$5)=0),IF($G63="선택","□","■"),"")</f>
        <v/>
      </c>
      <c r="Z63" s="37" t="str">
        <f aca="false">IF(AND(Z$5&gt;=$K63,Z$5&lt;=$L63,COUNTIF(휴일!$A$2:$A$20,Z$5)=0),IF($G63="선택","□","■"),"")</f>
        <v/>
      </c>
      <c r="AA63" s="37" t="str">
        <f aca="false">IF(AND(AA$5&gt;=$K63,AA$5&lt;=$L63,COUNTIF(휴일!$A$2:$A$20,AA$5)=0),IF($G63="선택","□","■"),"")</f>
        <v/>
      </c>
      <c r="AB63" s="37" t="str">
        <f aca="false">IF(AND(AB$5&gt;=$K63,AB$5&lt;=$L63,COUNTIF(휴일!$A$2:$A$20,AB$5)=0),IF($G63="선택","□","■"),"")</f>
        <v/>
      </c>
      <c r="AC63" s="37" t="str">
        <f aca="false">IF(AND(AC$5&gt;=$K63,AC$5&lt;=$L63,COUNTIF(휴일!$A$2:$A$20,AC$5)=0),IF($G63="선택","□","■"),"")</f>
        <v>■</v>
      </c>
      <c r="AD63" s="37" t="str">
        <f aca="false">IF(AND(AD$5&gt;=$K63,AD$5&lt;=$L63,COUNTIF(휴일!$A$2:$A$20,AD$5)=0),IF($G63="선택","□","■"),"")</f>
        <v/>
      </c>
      <c r="AE63" s="37" t="str">
        <f aca="false">IF(AND(AE$5&gt;=$K63,AE$5&lt;=$L63,COUNTIF(휴일!$A$2:$A$20,AE$5)=0),IF($G63="선택","□","■"),"")</f>
        <v/>
      </c>
      <c r="AF63" s="37" t="str">
        <f aca="false">IF(AND(AF$5&gt;=$K63,AF$5&lt;=$L63,COUNTIF(휴일!$A$2:$A$20,AF$5)=0),IF($G63="선택","□","■"),"")</f>
        <v/>
      </c>
    </row>
    <row r="64" customFormat="false" ht="30" hidden="false" customHeight="true" outlineLevel="0" collapsed="false">
      <c r="B64" s="23"/>
      <c r="C64" s="24"/>
      <c r="D64" s="25"/>
      <c r="E64" s="26" t="s">
        <v>231</v>
      </c>
      <c r="F64" s="27" t="s">
        <v>235</v>
      </c>
      <c r="G64" s="28" t="s">
        <v>30</v>
      </c>
      <c r="H64" s="28" t="s">
        <v>31</v>
      </c>
      <c r="I64" s="29" t="s">
        <v>233</v>
      </c>
      <c r="J64" s="30" t="s">
        <v>236</v>
      </c>
      <c r="K64" s="31" t="n">
        <v>46328</v>
      </c>
      <c r="L64" s="31" t="n">
        <v>46328</v>
      </c>
      <c r="M64" s="31"/>
      <c r="N64" s="31"/>
      <c r="O64" s="32" t="n">
        <f aca="false">IF(OR(K64="",L64=""),0,L64-K64+1-COUNTIFS(휴일!$A$2:$A$20,"&gt;="&amp;K64,휴일!$A$2:$A$20,"&lt;="&amp;L64))</f>
        <v>1</v>
      </c>
      <c r="P64" s="32" t="n">
        <f aca="false">IF(OR(M64="",N64=""),0,N64-M64+1-COUNTIFS(휴일!$A$2:$A$20,"&gt;="&amp;M64,휴일!$A$2:$A$20,"&lt;="&amp;N64))</f>
        <v>0</v>
      </c>
      <c r="Q64" s="33" t="n">
        <f aca="false">IF(O64=0,0,MAX(0,MIN(O64,$L$1-K64+1-COUNTIFS(휴일!$A$2:$A$20,"&gt;="&amp;K64,휴일!$A$2:$A$20,"&lt;="&amp;$L$1))))</f>
        <v>0</v>
      </c>
      <c r="R64" s="33" t="n">
        <f aca="false">IF(P64=0,0,MIN(P64,O64))</f>
        <v>0</v>
      </c>
      <c r="S64" s="34" t="n">
        <f aca="false">IFERROR(Q64/O64,0)</f>
        <v>0</v>
      </c>
      <c r="T64" s="34" t="n">
        <f aca="false">IFERROR(R64/O64,0)</f>
        <v>0</v>
      </c>
      <c r="U64" s="35" t="n">
        <f aca="false">IF(OR(O64=0,R64=0),0,MIN(1,R64/O64))</f>
        <v>0</v>
      </c>
      <c r="V64" s="36" t="n">
        <f aca="false">U64-S64</f>
        <v>0</v>
      </c>
      <c r="W64" s="37" t="str">
        <f aca="false">IF(AND(W$5&gt;=$K64,W$5&lt;=$L64,COUNTIF(휴일!$A$2:$A$20,W$5)=0),IF($G64="선택","□","■"),"")</f>
        <v/>
      </c>
      <c r="X64" s="37" t="str">
        <f aca="false">IF(AND(X$5&gt;=$K64,X$5&lt;=$L64,COUNTIF(휴일!$A$2:$A$20,X$5)=0),IF($G64="선택","□","■"),"")</f>
        <v/>
      </c>
      <c r="Y64" s="37" t="str">
        <f aca="false">IF(AND(Y$5&gt;=$K64,Y$5&lt;=$L64,COUNTIF(휴일!$A$2:$A$20,Y$5)=0),IF($G64="선택","□","■"),"")</f>
        <v/>
      </c>
      <c r="Z64" s="37" t="str">
        <f aca="false">IF(AND(Z$5&gt;=$K64,Z$5&lt;=$L64,COUNTIF(휴일!$A$2:$A$20,Z$5)=0),IF($G64="선택","□","■"),"")</f>
        <v/>
      </c>
      <c r="AA64" s="37" t="str">
        <f aca="false">IF(AND(AA$5&gt;=$K64,AA$5&lt;=$L64,COUNTIF(휴일!$A$2:$A$20,AA$5)=0),IF($G64="선택","□","■"),"")</f>
        <v/>
      </c>
      <c r="AB64" s="37" t="str">
        <f aca="false">IF(AND(AB$5&gt;=$K64,AB$5&lt;=$L64,COUNTIF(휴일!$A$2:$A$20,AB$5)=0),IF($G64="선택","□","■"),"")</f>
        <v/>
      </c>
      <c r="AC64" s="37" t="str">
        <f aca="false">IF(AND(AC$5&gt;=$K64,AC$5&lt;=$L64,COUNTIF(휴일!$A$2:$A$20,AC$5)=0),IF($G64="선택","□","■"),"")</f>
        <v>■</v>
      </c>
      <c r="AD64" s="37" t="str">
        <f aca="false">IF(AND(AD$5&gt;=$K64,AD$5&lt;=$L64,COUNTIF(휴일!$A$2:$A$20,AD$5)=0),IF($G64="선택","□","■"),"")</f>
        <v/>
      </c>
      <c r="AE64" s="37" t="str">
        <f aca="false">IF(AND(AE$5&gt;=$K64,AE$5&lt;=$L64,COUNTIF(휴일!$A$2:$A$20,AE$5)=0),IF($G64="선택","□","■"),"")</f>
        <v/>
      </c>
      <c r="AF64" s="37" t="str">
        <f aca="false">IF(AND(AF$5&gt;=$K64,AF$5&lt;=$L64,COUNTIF(휴일!$A$2:$A$20,AF$5)=0),IF($G64="선택","□","■"),"")</f>
        <v/>
      </c>
    </row>
    <row r="65" customFormat="false" ht="7.5" hidden="false" customHeight="true" outlineLevel="0" collapsed="false">
      <c r="B65" s="23"/>
      <c r="C65" s="24"/>
      <c r="D65" s="25"/>
      <c r="E65" s="26"/>
      <c r="F65" s="38"/>
      <c r="G65" s="28"/>
      <c r="H65" s="28"/>
      <c r="I65" s="28"/>
      <c r="J65" s="28"/>
      <c r="K65" s="31"/>
      <c r="L65" s="31"/>
      <c r="M65" s="31"/>
      <c r="N65" s="31"/>
      <c r="O65" s="32"/>
      <c r="P65" s="32"/>
      <c r="Q65" s="32"/>
      <c r="R65" s="32"/>
      <c r="S65" s="34"/>
      <c r="T65" s="34"/>
      <c r="U65" s="34"/>
      <c r="V65" s="34"/>
      <c r="W65" s="39"/>
      <c r="X65" s="39"/>
      <c r="Y65" s="39"/>
      <c r="Z65" s="39"/>
      <c r="AA65" s="39"/>
      <c r="AB65" s="39"/>
      <c r="AC65" s="39"/>
      <c r="AD65" s="39"/>
      <c r="AE65" s="39"/>
      <c r="AF65" s="39"/>
    </row>
    <row r="66" customFormat="false" ht="30" hidden="false" customHeight="true" outlineLevel="0" collapsed="false">
      <c r="B66" s="23" t="n">
        <v>4</v>
      </c>
      <c r="C66" s="24" t="n">
        <v>0.2</v>
      </c>
      <c r="D66" s="25" t="s">
        <v>237</v>
      </c>
      <c r="E66" s="26" t="s">
        <v>181</v>
      </c>
      <c r="F66" s="27" t="s">
        <v>238</v>
      </c>
      <c r="G66" s="28" t="s">
        <v>30</v>
      </c>
      <c r="H66" s="28" t="s">
        <v>31</v>
      </c>
      <c r="I66" s="29" t="s">
        <v>239</v>
      </c>
      <c r="J66" s="30" t="s">
        <v>240</v>
      </c>
      <c r="K66" s="31" t="n">
        <v>46325</v>
      </c>
      <c r="L66" s="31" t="n">
        <v>46325</v>
      </c>
      <c r="M66" s="31"/>
      <c r="N66" s="31"/>
      <c r="O66" s="32" t="n">
        <f aca="false">IF(OR(K66="",L66=""),0,L66-K66+1-COUNTIFS(휴일!$A$2:$A$20,"&gt;="&amp;K66,휴일!$A$2:$A$20,"&lt;="&amp;L66))</f>
        <v>1</v>
      </c>
      <c r="P66" s="32" t="n">
        <f aca="false">IF(OR(M66="",N66=""),0,N66-M66+1-COUNTIFS(휴일!$A$2:$A$20,"&gt;="&amp;M66,휴일!$A$2:$A$20,"&lt;="&amp;N66))</f>
        <v>0</v>
      </c>
      <c r="Q66" s="33" t="n">
        <f aca="false">IF(O66=0,0,MAX(0,MIN(O66,$L$1-K66+1-COUNTIFS(휴일!$A$2:$A$20,"&gt;="&amp;K66,휴일!$A$2:$A$20,"&lt;="&amp;$L$1))))</f>
        <v>0</v>
      </c>
      <c r="R66" s="33" t="n">
        <f aca="false">IF(P66=0,0,MIN(P66,O66))</f>
        <v>0</v>
      </c>
      <c r="S66" s="34" t="n">
        <f aca="false">IFERROR(Q66/O66,0)</f>
        <v>0</v>
      </c>
      <c r="T66" s="34" t="n">
        <f aca="false">IFERROR(R66/O66,0)</f>
        <v>0</v>
      </c>
      <c r="U66" s="35" t="n">
        <f aca="false">IF(OR(O66=0,R66=0),0,MIN(1,R66/O66))</f>
        <v>0</v>
      </c>
      <c r="V66" s="36" t="n">
        <f aca="false">U66-S66</f>
        <v>0</v>
      </c>
      <c r="W66" s="37" t="str">
        <f aca="false">IF(AND(W$5&gt;=$K66,W$5&lt;=$L66,COUNTIF(휴일!$A$2:$A$20,W$5)=0),IF($G66="선택","□","■"),"")</f>
        <v/>
      </c>
      <c r="X66" s="37" t="str">
        <f aca="false">IF(AND(X$5&gt;=$K66,X$5&lt;=$L66,COUNTIF(휴일!$A$2:$A$20,X$5)=0),IF($G66="선택","□","■"),"")</f>
        <v/>
      </c>
      <c r="Y66" s="37" t="str">
        <f aca="false">IF(AND(Y$5&gt;=$K66,Y$5&lt;=$L66,COUNTIF(휴일!$A$2:$A$20,Y$5)=0),IF($G66="선택","□","■"),"")</f>
        <v/>
      </c>
      <c r="Z66" s="37" t="str">
        <f aca="false">IF(AND(Z$5&gt;=$K66,Z$5&lt;=$L66,COUNTIF(휴일!$A$2:$A$20,Z$5)=0),IF($G66="선택","□","■"),"")</f>
        <v>■</v>
      </c>
      <c r="AA66" s="37" t="str">
        <f aca="false">IF(AND(AA$5&gt;=$K66,AA$5&lt;=$L66,COUNTIF(휴일!$A$2:$A$20,AA$5)=0),IF($G66="선택","□","■"),"")</f>
        <v/>
      </c>
      <c r="AB66" s="37" t="str">
        <f aca="false">IF(AND(AB$5&gt;=$K66,AB$5&lt;=$L66,COUNTIF(휴일!$A$2:$A$20,AB$5)=0),IF($G66="선택","□","■"),"")</f>
        <v/>
      </c>
      <c r="AC66" s="37" t="str">
        <f aca="false">IF(AND(AC$5&gt;=$K66,AC$5&lt;=$L66,COUNTIF(휴일!$A$2:$A$20,AC$5)=0),IF($G66="선택","□","■"),"")</f>
        <v/>
      </c>
      <c r="AD66" s="37" t="str">
        <f aca="false">IF(AND(AD$5&gt;=$K66,AD$5&lt;=$L66,COUNTIF(휴일!$A$2:$A$20,AD$5)=0),IF($G66="선택","□","■"),"")</f>
        <v/>
      </c>
      <c r="AE66" s="37" t="str">
        <f aca="false">IF(AND(AE$5&gt;=$K66,AE$5&lt;=$L66,COUNTIF(휴일!$A$2:$A$20,AE$5)=0),IF($G66="선택","□","■"),"")</f>
        <v/>
      </c>
      <c r="AF66" s="37" t="str">
        <f aca="false">IF(AND(AF$5&gt;=$K66,AF$5&lt;=$L66,COUNTIF(휴일!$A$2:$A$20,AF$5)=0),IF($G66="선택","□","■"),"")</f>
        <v/>
      </c>
    </row>
    <row r="67" customFormat="false" ht="30" hidden="false" customHeight="true" outlineLevel="0" collapsed="false">
      <c r="B67" s="23"/>
      <c r="C67" s="24"/>
      <c r="D67" s="25"/>
      <c r="E67" s="26" t="s">
        <v>181</v>
      </c>
      <c r="F67" s="27" t="s">
        <v>241</v>
      </c>
      <c r="G67" s="28" t="s">
        <v>30</v>
      </c>
      <c r="H67" s="28" t="s">
        <v>31</v>
      </c>
      <c r="I67" s="29" t="s">
        <v>239</v>
      </c>
      <c r="J67" s="30" t="s">
        <v>242</v>
      </c>
      <c r="K67" s="31" t="n">
        <v>46328</v>
      </c>
      <c r="L67" s="31" t="n">
        <v>46328</v>
      </c>
      <c r="M67" s="31"/>
      <c r="N67" s="31"/>
      <c r="O67" s="32" t="n">
        <f aca="false">IF(OR(K67="",L67=""),0,L67-K67+1-COUNTIFS(휴일!$A$2:$A$20,"&gt;="&amp;K67,휴일!$A$2:$A$20,"&lt;="&amp;L67))</f>
        <v>1</v>
      </c>
      <c r="P67" s="32" t="n">
        <f aca="false">IF(OR(M67="",N67=""),0,N67-M67+1-COUNTIFS(휴일!$A$2:$A$20,"&gt;="&amp;M67,휴일!$A$2:$A$20,"&lt;="&amp;N67))</f>
        <v>0</v>
      </c>
      <c r="Q67" s="33" t="n">
        <f aca="false">IF(O67=0,0,MAX(0,MIN(O67,$L$1-K67+1-COUNTIFS(휴일!$A$2:$A$20,"&gt;="&amp;K67,휴일!$A$2:$A$20,"&lt;="&amp;$L$1))))</f>
        <v>0</v>
      </c>
      <c r="R67" s="33" t="n">
        <f aca="false">IF(P67=0,0,MIN(P67,O67))</f>
        <v>0</v>
      </c>
      <c r="S67" s="34" t="n">
        <f aca="false">IFERROR(Q67/O67,0)</f>
        <v>0</v>
      </c>
      <c r="T67" s="34" t="n">
        <f aca="false">IFERROR(R67/O67,0)</f>
        <v>0</v>
      </c>
      <c r="U67" s="35" t="n">
        <f aca="false">IF(OR(O67=0,R67=0),0,MIN(1,R67/O67))</f>
        <v>0</v>
      </c>
      <c r="V67" s="36" t="n">
        <f aca="false">U67-S67</f>
        <v>0</v>
      </c>
      <c r="W67" s="37" t="str">
        <f aca="false">IF(AND(W$5&gt;=$K67,W$5&lt;=$L67,COUNTIF(휴일!$A$2:$A$20,W$5)=0),IF($G67="선택","□","■"),"")</f>
        <v/>
      </c>
      <c r="X67" s="37" t="str">
        <f aca="false">IF(AND(X$5&gt;=$K67,X$5&lt;=$L67,COUNTIF(휴일!$A$2:$A$20,X$5)=0),IF($G67="선택","□","■"),"")</f>
        <v/>
      </c>
      <c r="Y67" s="37" t="str">
        <f aca="false">IF(AND(Y$5&gt;=$K67,Y$5&lt;=$L67,COUNTIF(휴일!$A$2:$A$20,Y$5)=0),IF($G67="선택","□","■"),"")</f>
        <v/>
      </c>
      <c r="Z67" s="37" t="str">
        <f aca="false">IF(AND(Z$5&gt;=$K67,Z$5&lt;=$L67,COUNTIF(휴일!$A$2:$A$20,Z$5)=0),IF($G67="선택","□","■"),"")</f>
        <v/>
      </c>
      <c r="AA67" s="37" t="str">
        <f aca="false">IF(AND(AA$5&gt;=$K67,AA$5&lt;=$L67,COUNTIF(휴일!$A$2:$A$20,AA$5)=0),IF($G67="선택","□","■"),"")</f>
        <v/>
      </c>
      <c r="AB67" s="37" t="str">
        <f aca="false">IF(AND(AB$5&gt;=$K67,AB$5&lt;=$L67,COUNTIF(휴일!$A$2:$A$20,AB$5)=0),IF($G67="선택","□","■"),"")</f>
        <v/>
      </c>
      <c r="AC67" s="37" t="str">
        <f aca="false">IF(AND(AC$5&gt;=$K67,AC$5&lt;=$L67,COUNTIF(휴일!$A$2:$A$20,AC$5)=0),IF($G67="선택","□","■"),"")</f>
        <v>■</v>
      </c>
      <c r="AD67" s="37" t="str">
        <f aca="false">IF(AND(AD$5&gt;=$K67,AD$5&lt;=$L67,COUNTIF(휴일!$A$2:$A$20,AD$5)=0),IF($G67="선택","□","■"),"")</f>
        <v/>
      </c>
      <c r="AE67" s="37" t="str">
        <f aca="false">IF(AND(AE$5&gt;=$K67,AE$5&lt;=$L67,COUNTIF(휴일!$A$2:$A$20,AE$5)=0),IF($G67="선택","□","■"),"")</f>
        <v/>
      </c>
      <c r="AF67" s="37" t="str">
        <f aca="false">IF(AND(AF$5&gt;=$K67,AF$5&lt;=$L67,COUNTIF(휴일!$A$2:$A$20,AF$5)=0),IF($G67="선택","□","■"),"")</f>
        <v/>
      </c>
    </row>
    <row r="68" customFormat="false" ht="30" hidden="false" customHeight="true" outlineLevel="0" collapsed="false">
      <c r="B68" s="23"/>
      <c r="C68" s="24"/>
      <c r="D68" s="25"/>
      <c r="E68" s="26" t="s">
        <v>181</v>
      </c>
      <c r="F68" s="27" t="s">
        <v>243</v>
      </c>
      <c r="G68" s="28" t="s">
        <v>30</v>
      </c>
      <c r="H68" s="28" t="s">
        <v>31</v>
      </c>
      <c r="I68" s="29" t="s">
        <v>244</v>
      </c>
      <c r="J68" s="30" t="s">
        <v>245</v>
      </c>
      <c r="K68" s="31" t="n">
        <v>46328</v>
      </c>
      <c r="L68" s="31" t="n">
        <v>46328</v>
      </c>
      <c r="M68" s="31"/>
      <c r="N68" s="31"/>
      <c r="O68" s="32" t="n">
        <f aca="false">IF(OR(K68="",L68=""),0,L68-K68+1-COUNTIFS(휴일!$A$2:$A$20,"&gt;="&amp;K68,휴일!$A$2:$A$20,"&lt;="&amp;L68))</f>
        <v>1</v>
      </c>
      <c r="P68" s="32" t="n">
        <f aca="false">IF(OR(M68="",N68=""),0,N68-M68+1-COUNTIFS(휴일!$A$2:$A$20,"&gt;="&amp;M68,휴일!$A$2:$A$20,"&lt;="&amp;N68))</f>
        <v>0</v>
      </c>
      <c r="Q68" s="33" t="n">
        <f aca="false">IF(O68=0,0,MAX(0,MIN(O68,$L$1-K68+1-COUNTIFS(휴일!$A$2:$A$20,"&gt;="&amp;K68,휴일!$A$2:$A$20,"&lt;="&amp;$L$1))))</f>
        <v>0</v>
      </c>
      <c r="R68" s="33" t="n">
        <f aca="false">IF(P68=0,0,MIN(P68,O68))</f>
        <v>0</v>
      </c>
      <c r="S68" s="34" t="n">
        <f aca="false">IFERROR(Q68/O68,0)</f>
        <v>0</v>
      </c>
      <c r="T68" s="34" t="n">
        <f aca="false">IFERROR(R68/O68,0)</f>
        <v>0</v>
      </c>
      <c r="U68" s="35" t="n">
        <f aca="false">IF(OR(O68=0,R68=0),0,MIN(1,R68/O68))</f>
        <v>0</v>
      </c>
      <c r="V68" s="36" t="n">
        <f aca="false">U68-S68</f>
        <v>0</v>
      </c>
      <c r="W68" s="37" t="str">
        <f aca="false">IF(AND(W$5&gt;=$K68,W$5&lt;=$L68,COUNTIF(휴일!$A$2:$A$20,W$5)=0),IF($G68="선택","□","■"),"")</f>
        <v/>
      </c>
      <c r="X68" s="37" t="str">
        <f aca="false">IF(AND(X$5&gt;=$K68,X$5&lt;=$L68,COUNTIF(휴일!$A$2:$A$20,X$5)=0),IF($G68="선택","□","■"),"")</f>
        <v/>
      </c>
      <c r="Y68" s="37" t="str">
        <f aca="false">IF(AND(Y$5&gt;=$K68,Y$5&lt;=$L68,COUNTIF(휴일!$A$2:$A$20,Y$5)=0),IF($G68="선택","□","■"),"")</f>
        <v/>
      </c>
      <c r="Z68" s="37" t="str">
        <f aca="false">IF(AND(Z$5&gt;=$K68,Z$5&lt;=$L68,COUNTIF(휴일!$A$2:$A$20,Z$5)=0),IF($G68="선택","□","■"),"")</f>
        <v/>
      </c>
      <c r="AA68" s="37" t="str">
        <f aca="false">IF(AND(AA$5&gt;=$K68,AA$5&lt;=$L68,COUNTIF(휴일!$A$2:$A$20,AA$5)=0),IF($G68="선택","□","■"),"")</f>
        <v/>
      </c>
      <c r="AB68" s="37" t="str">
        <f aca="false">IF(AND(AB$5&gt;=$K68,AB$5&lt;=$L68,COUNTIF(휴일!$A$2:$A$20,AB$5)=0),IF($G68="선택","□","■"),"")</f>
        <v/>
      </c>
      <c r="AC68" s="37" t="str">
        <f aca="false">IF(AND(AC$5&gt;=$K68,AC$5&lt;=$L68,COUNTIF(휴일!$A$2:$A$20,AC$5)=0),IF($G68="선택","□","■"),"")</f>
        <v>■</v>
      </c>
      <c r="AD68" s="37" t="str">
        <f aca="false">IF(AND(AD$5&gt;=$K68,AD$5&lt;=$L68,COUNTIF(휴일!$A$2:$A$20,AD$5)=0),IF($G68="선택","□","■"),"")</f>
        <v/>
      </c>
      <c r="AE68" s="37" t="str">
        <f aca="false">IF(AND(AE$5&gt;=$K68,AE$5&lt;=$L68,COUNTIF(휴일!$A$2:$A$20,AE$5)=0),IF($G68="선택","□","■"),"")</f>
        <v/>
      </c>
      <c r="AF68" s="37" t="str">
        <f aca="false">IF(AND(AF$5&gt;=$K68,AF$5&lt;=$L68,COUNTIF(휴일!$A$2:$A$20,AF$5)=0),IF($G68="선택","□","■"),"")</f>
        <v/>
      </c>
    </row>
    <row r="69" customFormat="false" ht="30" hidden="false" customHeight="true" outlineLevel="0" collapsed="false">
      <c r="B69" s="23"/>
      <c r="C69" s="24"/>
      <c r="D69" s="25"/>
      <c r="E69" s="26" t="s">
        <v>246</v>
      </c>
      <c r="F69" s="27" t="s">
        <v>247</v>
      </c>
      <c r="G69" s="28" t="s">
        <v>30</v>
      </c>
      <c r="H69" s="28" t="s">
        <v>31</v>
      </c>
      <c r="I69" s="29" t="s">
        <v>248</v>
      </c>
      <c r="J69" s="30" t="s">
        <v>249</v>
      </c>
      <c r="K69" s="31" t="n">
        <v>46328</v>
      </c>
      <c r="L69" s="31" t="n">
        <v>46328</v>
      </c>
      <c r="M69" s="31"/>
      <c r="N69" s="31"/>
      <c r="O69" s="32" t="n">
        <f aca="false">IF(OR(K69="",L69=""),0,L69-K69+1-COUNTIFS(휴일!$A$2:$A$20,"&gt;="&amp;K69,휴일!$A$2:$A$20,"&lt;="&amp;L69))</f>
        <v>1</v>
      </c>
      <c r="P69" s="32" t="n">
        <f aca="false">IF(OR(M69="",N69=""),0,N69-M69+1-COUNTIFS(휴일!$A$2:$A$20,"&gt;="&amp;M69,휴일!$A$2:$A$20,"&lt;="&amp;N69))</f>
        <v>0</v>
      </c>
      <c r="Q69" s="33" t="n">
        <f aca="false">IF(O69=0,0,MAX(0,MIN(O69,$L$1-K69+1-COUNTIFS(휴일!$A$2:$A$20,"&gt;="&amp;K69,휴일!$A$2:$A$20,"&lt;="&amp;$L$1))))</f>
        <v>0</v>
      </c>
      <c r="R69" s="33" t="n">
        <f aca="false">IF(P69=0,0,MIN(P69,O69))</f>
        <v>0</v>
      </c>
      <c r="S69" s="34" t="n">
        <f aca="false">IFERROR(Q69/O69,0)</f>
        <v>0</v>
      </c>
      <c r="T69" s="34" t="n">
        <f aca="false">IFERROR(R69/O69,0)</f>
        <v>0</v>
      </c>
      <c r="U69" s="35" t="n">
        <f aca="false">IF(OR(O69=0,R69=0),0,MIN(1,R69/O69))</f>
        <v>0</v>
      </c>
      <c r="V69" s="36" t="n">
        <f aca="false">U69-S69</f>
        <v>0</v>
      </c>
      <c r="W69" s="37" t="str">
        <f aca="false">IF(AND(W$5&gt;=$K69,W$5&lt;=$L69,COUNTIF(휴일!$A$2:$A$20,W$5)=0),IF($G69="선택","□","■"),"")</f>
        <v/>
      </c>
      <c r="X69" s="37" t="str">
        <f aca="false">IF(AND(X$5&gt;=$K69,X$5&lt;=$L69,COUNTIF(휴일!$A$2:$A$20,X$5)=0),IF($G69="선택","□","■"),"")</f>
        <v/>
      </c>
      <c r="Y69" s="37" t="str">
        <f aca="false">IF(AND(Y$5&gt;=$K69,Y$5&lt;=$L69,COUNTIF(휴일!$A$2:$A$20,Y$5)=0),IF($G69="선택","□","■"),"")</f>
        <v/>
      </c>
      <c r="Z69" s="37" t="str">
        <f aca="false">IF(AND(Z$5&gt;=$K69,Z$5&lt;=$L69,COUNTIF(휴일!$A$2:$A$20,Z$5)=0),IF($G69="선택","□","■"),"")</f>
        <v/>
      </c>
      <c r="AA69" s="37" t="str">
        <f aca="false">IF(AND(AA$5&gt;=$K69,AA$5&lt;=$L69,COUNTIF(휴일!$A$2:$A$20,AA$5)=0),IF($G69="선택","□","■"),"")</f>
        <v/>
      </c>
      <c r="AB69" s="37" t="str">
        <f aca="false">IF(AND(AB$5&gt;=$K69,AB$5&lt;=$L69,COUNTIF(휴일!$A$2:$A$20,AB$5)=0),IF($G69="선택","□","■"),"")</f>
        <v/>
      </c>
      <c r="AC69" s="37" t="str">
        <f aca="false">IF(AND(AC$5&gt;=$K69,AC$5&lt;=$L69,COUNTIF(휴일!$A$2:$A$20,AC$5)=0),IF($G69="선택","□","■"),"")</f>
        <v>■</v>
      </c>
      <c r="AD69" s="37" t="str">
        <f aca="false">IF(AND(AD$5&gt;=$K69,AD$5&lt;=$L69,COUNTIF(휴일!$A$2:$A$20,AD$5)=0),IF($G69="선택","□","■"),"")</f>
        <v/>
      </c>
      <c r="AE69" s="37" t="str">
        <f aca="false">IF(AND(AE$5&gt;=$K69,AE$5&lt;=$L69,COUNTIF(휴일!$A$2:$A$20,AE$5)=0),IF($G69="선택","□","■"),"")</f>
        <v/>
      </c>
      <c r="AF69" s="37" t="str">
        <f aca="false">IF(AND(AF$5&gt;=$K69,AF$5&lt;=$L69,COUNTIF(휴일!$A$2:$A$20,AF$5)=0),IF($G69="선택","□","■"),"")</f>
        <v/>
      </c>
    </row>
    <row r="70" customFormat="false" ht="30" hidden="false" customHeight="true" outlineLevel="0" collapsed="false">
      <c r="B70" s="23"/>
      <c r="C70" s="24"/>
      <c r="D70" s="25"/>
      <c r="E70" s="26" t="s">
        <v>250</v>
      </c>
      <c r="F70" s="27" t="s">
        <v>251</v>
      </c>
      <c r="G70" s="28" t="s">
        <v>30</v>
      </c>
      <c r="H70" s="28" t="s">
        <v>31</v>
      </c>
      <c r="I70" s="29" t="s">
        <v>244</v>
      </c>
      <c r="J70" s="30" t="s">
        <v>252</v>
      </c>
      <c r="K70" s="31" t="n">
        <v>46328</v>
      </c>
      <c r="L70" s="31" t="n">
        <v>46328</v>
      </c>
      <c r="M70" s="31"/>
      <c r="N70" s="31"/>
      <c r="O70" s="32" t="n">
        <f aca="false">IF(OR(K70="",L70=""),0,L70-K70+1-COUNTIFS(휴일!$A$2:$A$20,"&gt;="&amp;K70,휴일!$A$2:$A$20,"&lt;="&amp;L70))</f>
        <v>1</v>
      </c>
      <c r="P70" s="32" t="n">
        <f aca="false">IF(OR(M70="",N70=""),0,N70-M70+1-COUNTIFS(휴일!$A$2:$A$20,"&gt;="&amp;M70,휴일!$A$2:$A$20,"&lt;="&amp;N70))</f>
        <v>0</v>
      </c>
      <c r="Q70" s="33" t="n">
        <f aca="false">IF(O70=0,0,MAX(0,MIN(O70,$L$1-K70+1-COUNTIFS(휴일!$A$2:$A$20,"&gt;="&amp;K70,휴일!$A$2:$A$20,"&lt;="&amp;$L$1))))</f>
        <v>0</v>
      </c>
      <c r="R70" s="33" t="n">
        <f aca="false">IF(P70=0,0,MIN(P70,O70))</f>
        <v>0</v>
      </c>
      <c r="S70" s="34" t="n">
        <f aca="false">IFERROR(Q70/O70,0)</f>
        <v>0</v>
      </c>
      <c r="T70" s="34" t="n">
        <f aca="false">IFERROR(R70/O70,0)</f>
        <v>0</v>
      </c>
      <c r="U70" s="35" t="n">
        <f aca="false">IF(OR(O70=0,R70=0),0,MIN(1,R70/O70))</f>
        <v>0</v>
      </c>
      <c r="V70" s="36" t="n">
        <f aca="false">U70-S70</f>
        <v>0</v>
      </c>
      <c r="W70" s="37" t="str">
        <f aca="false">IF(AND(W$5&gt;=$K70,W$5&lt;=$L70,COUNTIF(휴일!$A$2:$A$20,W$5)=0),IF($G70="선택","□","■"),"")</f>
        <v/>
      </c>
      <c r="X70" s="37" t="str">
        <f aca="false">IF(AND(X$5&gt;=$K70,X$5&lt;=$L70,COUNTIF(휴일!$A$2:$A$20,X$5)=0),IF($G70="선택","□","■"),"")</f>
        <v/>
      </c>
      <c r="Y70" s="37" t="str">
        <f aca="false">IF(AND(Y$5&gt;=$K70,Y$5&lt;=$L70,COUNTIF(휴일!$A$2:$A$20,Y$5)=0),IF($G70="선택","□","■"),"")</f>
        <v/>
      </c>
      <c r="Z70" s="37" t="str">
        <f aca="false">IF(AND(Z$5&gt;=$K70,Z$5&lt;=$L70,COUNTIF(휴일!$A$2:$A$20,Z$5)=0),IF($G70="선택","□","■"),"")</f>
        <v/>
      </c>
      <c r="AA70" s="37" t="str">
        <f aca="false">IF(AND(AA$5&gt;=$K70,AA$5&lt;=$L70,COUNTIF(휴일!$A$2:$A$20,AA$5)=0),IF($G70="선택","□","■"),"")</f>
        <v/>
      </c>
      <c r="AB70" s="37" t="str">
        <f aca="false">IF(AND(AB$5&gt;=$K70,AB$5&lt;=$L70,COUNTIF(휴일!$A$2:$A$20,AB$5)=0),IF($G70="선택","□","■"),"")</f>
        <v/>
      </c>
      <c r="AC70" s="37" t="str">
        <f aca="false">IF(AND(AC$5&gt;=$K70,AC$5&lt;=$L70,COUNTIF(휴일!$A$2:$A$20,AC$5)=0),IF($G70="선택","□","■"),"")</f>
        <v>■</v>
      </c>
      <c r="AD70" s="37" t="str">
        <f aca="false">IF(AND(AD$5&gt;=$K70,AD$5&lt;=$L70,COUNTIF(휴일!$A$2:$A$20,AD$5)=0),IF($G70="선택","□","■"),"")</f>
        <v/>
      </c>
      <c r="AE70" s="37" t="str">
        <f aca="false">IF(AND(AE$5&gt;=$K70,AE$5&lt;=$L70,COUNTIF(휴일!$A$2:$A$20,AE$5)=0),IF($G70="선택","□","■"),"")</f>
        <v/>
      </c>
      <c r="AF70" s="37" t="str">
        <f aca="false">IF(AND(AF$5&gt;=$K70,AF$5&lt;=$L70,COUNTIF(휴일!$A$2:$A$20,AF$5)=0),IF($G70="선택","□","■"),"")</f>
        <v/>
      </c>
    </row>
    <row r="71" customFormat="false" ht="30" hidden="false" customHeight="true" outlineLevel="0" collapsed="false">
      <c r="B71" s="23"/>
      <c r="C71" s="24"/>
      <c r="D71" s="25"/>
      <c r="E71" s="26" t="s">
        <v>253</v>
      </c>
      <c r="F71" s="27" t="s">
        <v>254</v>
      </c>
      <c r="G71" s="28" t="s">
        <v>30</v>
      </c>
      <c r="H71" s="28" t="s">
        <v>31</v>
      </c>
      <c r="I71" s="29" t="s">
        <v>255</v>
      </c>
      <c r="J71" s="30" t="s">
        <v>256</v>
      </c>
      <c r="K71" s="31" t="n">
        <v>46328</v>
      </c>
      <c r="L71" s="31" t="n">
        <v>46328</v>
      </c>
      <c r="M71" s="31"/>
      <c r="N71" s="31"/>
      <c r="O71" s="32" t="n">
        <f aca="false">IF(OR(K71="",L71=""),0,L71-K71+1-COUNTIFS(휴일!$A$2:$A$20,"&gt;="&amp;K71,휴일!$A$2:$A$20,"&lt;="&amp;L71))</f>
        <v>1</v>
      </c>
      <c r="P71" s="32" t="n">
        <f aca="false">IF(OR(M71="",N71=""),0,N71-M71+1-COUNTIFS(휴일!$A$2:$A$20,"&gt;="&amp;M71,휴일!$A$2:$A$20,"&lt;="&amp;N71))</f>
        <v>0</v>
      </c>
      <c r="Q71" s="33" t="n">
        <f aca="false">IF(O71=0,0,MAX(0,MIN(O71,$L$1-K71+1-COUNTIFS(휴일!$A$2:$A$20,"&gt;="&amp;K71,휴일!$A$2:$A$20,"&lt;="&amp;$L$1))))</f>
        <v>0</v>
      </c>
      <c r="R71" s="33" t="n">
        <f aca="false">IF(P71=0,0,MIN(P71,O71))</f>
        <v>0</v>
      </c>
      <c r="S71" s="34" t="n">
        <f aca="false">IFERROR(Q71/O71,0)</f>
        <v>0</v>
      </c>
      <c r="T71" s="34" t="n">
        <f aca="false">IFERROR(R71/O71,0)</f>
        <v>0</v>
      </c>
      <c r="U71" s="35" t="n">
        <f aca="false">IF(OR(O71=0,R71=0),0,MIN(1,R71/O71))</f>
        <v>0</v>
      </c>
      <c r="V71" s="36" t="n">
        <f aca="false">U71-S71</f>
        <v>0</v>
      </c>
      <c r="W71" s="37" t="str">
        <f aca="false">IF(AND(W$5&gt;=$K71,W$5&lt;=$L71,COUNTIF(휴일!$A$2:$A$20,W$5)=0),IF($G71="선택","□","■"),"")</f>
        <v/>
      </c>
      <c r="X71" s="37" t="str">
        <f aca="false">IF(AND(X$5&gt;=$K71,X$5&lt;=$L71,COUNTIF(휴일!$A$2:$A$20,X$5)=0),IF($G71="선택","□","■"),"")</f>
        <v/>
      </c>
      <c r="Y71" s="37" t="str">
        <f aca="false">IF(AND(Y$5&gt;=$K71,Y$5&lt;=$L71,COUNTIF(휴일!$A$2:$A$20,Y$5)=0),IF($G71="선택","□","■"),"")</f>
        <v/>
      </c>
      <c r="Z71" s="37" t="str">
        <f aca="false">IF(AND(Z$5&gt;=$K71,Z$5&lt;=$L71,COUNTIF(휴일!$A$2:$A$20,Z$5)=0),IF($G71="선택","□","■"),"")</f>
        <v/>
      </c>
      <c r="AA71" s="37" t="str">
        <f aca="false">IF(AND(AA$5&gt;=$K71,AA$5&lt;=$L71,COUNTIF(휴일!$A$2:$A$20,AA$5)=0),IF($G71="선택","□","■"),"")</f>
        <v/>
      </c>
      <c r="AB71" s="37" t="str">
        <f aca="false">IF(AND(AB$5&gt;=$K71,AB$5&lt;=$L71,COUNTIF(휴일!$A$2:$A$20,AB$5)=0),IF($G71="선택","□","■"),"")</f>
        <v/>
      </c>
      <c r="AC71" s="37" t="str">
        <f aca="false">IF(AND(AC$5&gt;=$K71,AC$5&lt;=$L71,COUNTIF(휴일!$A$2:$A$20,AC$5)=0),IF($G71="선택","□","■"),"")</f>
        <v>■</v>
      </c>
      <c r="AD71" s="37" t="str">
        <f aca="false">IF(AND(AD$5&gt;=$K71,AD$5&lt;=$L71,COUNTIF(휴일!$A$2:$A$20,AD$5)=0),IF($G71="선택","□","■"),"")</f>
        <v/>
      </c>
      <c r="AE71" s="37" t="str">
        <f aca="false">IF(AND(AE$5&gt;=$K71,AE$5&lt;=$L71,COUNTIF(휴일!$A$2:$A$20,AE$5)=0),IF($G71="선택","□","■"),"")</f>
        <v/>
      </c>
      <c r="AF71" s="37" t="str">
        <f aca="false">IF(AND(AF$5&gt;=$K71,AF$5&lt;=$L71,COUNTIF(휴일!$A$2:$A$20,AF$5)=0),IF($G71="선택","□","■"),"")</f>
        <v/>
      </c>
    </row>
    <row r="72" customFormat="false" ht="30" hidden="false" customHeight="true" outlineLevel="0" collapsed="false">
      <c r="B72" s="23"/>
      <c r="C72" s="24"/>
      <c r="D72" s="25"/>
      <c r="E72" s="26" t="s">
        <v>253</v>
      </c>
      <c r="F72" s="27" t="s">
        <v>257</v>
      </c>
      <c r="G72" s="28" t="s">
        <v>30</v>
      </c>
      <c r="H72" s="28" t="s">
        <v>31</v>
      </c>
      <c r="I72" s="29" t="s">
        <v>258</v>
      </c>
      <c r="J72" s="30" t="s">
        <v>259</v>
      </c>
      <c r="K72" s="31" t="n">
        <v>46328</v>
      </c>
      <c r="L72" s="31" t="n">
        <v>46328</v>
      </c>
      <c r="M72" s="31"/>
      <c r="N72" s="31"/>
      <c r="O72" s="32" t="n">
        <f aca="false">IF(OR(K72="",L72=""),0,L72-K72+1-COUNTIFS(휴일!$A$2:$A$20,"&gt;="&amp;K72,휴일!$A$2:$A$20,"&lt;="&amp;L72))</f>
        <v>1</v>
      </c>
      <c r="P72" s="32" t="n">
        <f aca="false">IF(OR(M72="",N72=""),0,N72-M72+1-COUNTIFS(휴일!$A$2:$A$20,"&gt;="&amp;M72,휴일!$A$2:$A$20,"&lt;="&amp;N72))</f>
        <v>0</v>
      </c>
      <c r="Q72" s="33" t="n">
        <f aca="false">IF(O72=0,0,MAX(0,MIN(O72,$L$1-K72+1-COUNTIFS(휴일!$A$2:$A$20,"&gt;="&amp;K72,휴일!$A$2:$A$20,"&lt;="&amp;$L$1))))</f>
        <v>0</v>
      </c>
      <c r="R72" s="33" t="n">
        <f aca="false">IF(P72=0,0,MIN(P72,O72))</f>
        <v>0</v>
      </c>
      <c r="S72" s="34" t="n">
        <f aca="false">IFERROR(Q72/O72,0)</f>
        <v>0</v>
      </c>
      <c r="T72" s="34" t="n">
        <f aca="false">IFERROR(R72/O72,0)</f>
        <v>0</v>
      </c>
      <c r="U72" s="35" t="n">
        <f aca="false">IF(OR(O72=0,R72=0),0,MIN(1,R72/O72))</f>
        <v>0</v>
      </c>
      <c r="V72" s="36" t="n">
        <f aca="false">U72-S72</f>
        <v>0</v>
      </c>
      <c r="W72" s="37" t="str">
        <f aca="false">IF(AND(W$5&gt;=$K72,W$5&lt;=$L72,COUNTIF(휴일!$A$2:$A$20,W$5)=0),IF($G72="선택","□","■"),"")</f>
        <v/>
      </c>
      <c r="X72" s="37" t="str">
        <f aca="false">IF(AND(X$5&gt;=$K72,X$5&lt;=$L72,COUNTIF(휴일!$A$2:$A$20,X$5)=0),IF($G72="선택","□","■"),"")</f>
        <v/>
      </c>
      <c r="Y72" s="37" t="str">
        <f aca="false">IF(AND(Y$5&gt;=$K72,Y$5&lt;=$L72,COUNTIF(휴일!$A$2:$A$20,Y$5)=0),IF($G72="선택","□","■"),"")</f>
        <v/>
      </c>
      <c r="Z72" s="37" t="str">
        <f aca="false">IF(AND(Z$5&gt;=$K72,Z$5&lt;=$L72,COUNTIF(휴일!$A$2:$A$20,Z$5)=0),IF($G72="선택","□","■"),"")</f>
        <v/>
      </c>
      <c r="AA72" s="37" t="str">
        <f aca="false">IF(AND(AA$5&gt;=$K72,AA$5&lt;=$L72,COUNTIF(휴일!$A$2:$A$20,AA$5)=0),IF($G72="선택","□","■"),"")</f>
        <v/>
      </c>
      <c r="AB72" s="37" t="str">
        <f aca="false">IF(AND(AB$5&gt;=$K72,AB$5&lt;=$L72,COUNTIF(휴일!$A$2:$A$20,AB$5)=0),IF($G72="선택","□","■"),"")</f>
        <v/>
      </c>
      <c r="AC72" s="37" t="str">
        <f aca="false">IF(AND(AC$5&gt;=$K72,AC$5&lt;=$L72,COUNTIF(휴일!$A$2:$A$20,AC$5)=0),IF($G72="선택","□","■"),"")</f>
        <v>■</v>
      </c>
      <c r="AD72" s="37" t="str">
        <f aca="false">IF(AND(AD$5&gt;=$K72,AD$5&lt;=$L72,COUNTIF(휴일!$A$2:$A$20,AD$5)=0),IF($G72="선택","□","■"),"")</f>
        <v/>
      </c>
      <c r="AE72" s="37" t="str">
        <f aca="false">IF(AND(AE$5&gt;=$K72,AE$5&lt;=$L72,COUNTIF(휴일!$A$2:$A$20,AE$5)=0),IF($G72="선택","□","■"),"")</f>
        <v/>
      </c>
      <c r="AF72" s="37" t="str">
        <f aca="false">IF(AND(AF$5&gt;=$K72,AF$5&lt;=$L72,COUNTIF(휴일!$A$2:$A$20,AF$5)=0),IF($G72="선택","□","■"),"")</f>
        <v/>
      </c>
    </row>
    <row r="73" customFormat="false" ht="30" hidden="false" customHeight="true" outlineLevel="0" collapsed="false">
      <c r="B73" s="23"/>
      <c r="C73" s="24"/>
      <c r="D73" s="25"/>
      <c r="E73" s="26" t="s">
        <v>253</v>
      </c>
      <c r="F73" s="27" t="s">
        <v>260</v>
      </c>
      <c r="G73" s="28" t="s">
        <v>30</v>
      </c>
      <c r="H73" s="28" t="s">
        <v>31</v>
      </c>
      <c r="I73" s="29" t="s">
        <v>229</v>
      </c>
      <c r="J73" s="30" t="s">
        <v>261</v>
      </c>
      <c r="K73" s="31" t="n">
        <v>46328</v>
      </c>
      <c r="L73" s="31" t="n">
        <v>46328</v>
      </c>
      <c r="M73" s="31"/>
      <c r="N73" s="31"/>
      <c r="O73" s="32" t="n">
        <f aca="false">IF(OR(K73="",L73=""),0,L73-K73+1-COUNTIFS(휴일!$A$2:$A$20,"&gt;="&amp;K73,휴일!$A$2:$A$20,"&lt;="&amp;L73))</f>
        <v>1</v>
      </c>
      <c r="P73" s="32" t="n">
        <f aca="false">IF(OR(M73="",N73=""),0,N73-M73+1-COUNTIFS(휴일!$A$2:$A$20,"&gt;="&amp;M73,휴일!$A$2:$A$20,"&lt;="&amp;N73))</f>
        <v>0</v>
      </c>
      <c r="Q73" s="33" t="n">
        <f aca="false">IF(O73=0,0,MAX(0,MIN(O73,$L$1-K73+1-COUNTIFS(휴일!$A$2:$A$20,"&gt;="&amp;K73,휴일!$A$2:$A$20,"&lt;="&amp;$L$1))))</f>
        <v>0</v>
      </c>
      <c r="R73" s="33" t="n">
        <f aca="false">IF(P73=0,0,MIN(P73,O73))</f>
        <v>0</v>
      </c>
      <c r="S73" s="34" t="n">
        <f aca="false">IFERROR(Q73/O73,0)</f>
        <v>0</v>
      </c>
      <c r="T73" s="34" t="n">
        <f aca="false">IFERROR(R73/O73,0)</f>
        <v>0</v>
      </c>
      <c r="U73" s="35" t="n">
        <f aca="false">IF(OR(O73=0,R73=0),0,MIN(1,R73/O73))</f>
        <v>0</v>
      </c>
      <c r="V73" s="36" t="n">
        <f aca="false">U73-S73</f>
        <v>0</v>
      </c>
      <c r="W73" s="37" t="str">
        <f aca="false">IF(AND(W$5&gt;=$K73,W$5&lt;=$L73,COUNTIF(휴일!$A$2:$A$20,W$5)=0),IF($G73="선택","□","■"),"")</f>
        <v/>
      </c>
      <c r="X73" s="37" t="str">
        <f aca="false">IF(AND(X$5&gt;=$K73,X$5&lt;=$L73,COUNTIF(휴일!$A$2:$A$20,X$5)=0),IF($G73="선택","□","■"),"")</f>
        <v/>
      </c>
      <c r="Y73" s="37" t="str">
        <f aca="false">IF(AND(Y$5&gt;=$K73,Y$5&lt;=$L73,COUNTIF(휴일!$A$2:$A$20,Y$5)=0),IF($G73="선택","□","■"),"")</f>
        <v/>
      </c>
      <c r="Z73" s="37" t="str">
        <f aca="false">IF(AND(Z$5&gt;=$K73,Z$5&lt;=$L73,COUNTIF(휴일!$A$2:$A$20,Z$5)=0),IF($G73="선택","□","■"),"")</f>
        <v/>
      </c>
      <c r="AA73" s="37" t="str">
        <f aca="false">IF(AND(AA$5&gt;=$K73,AA$5&lt;=$L73,COUNTIF(휴일!$A$2:$A$20,AA$5)=0),IF($G73="선택","□","■"),"")</f>
        <v/>
      </c>
      <c r="AB73" s="37" t="str">
        <f aca="false">IF(AND(AB$5&gt;=$K73,AB$5&lt;=$L73,COUNTIF(휴일!$A$2:$A$20,AB$5)=0),IF($G73="선택","□","■"),"")</f>
        <v/>
      </c>
      <c r="AC73" s="37" t="str">
        <f aca="false">IF(AND(AC$5&gt;=$K73,AC$5&lt;=$L73,COUNTIF(휴일!$A$2:$A$20,AC$5)=0),IF($G73="선택","□","■"),"")</f>
        <v>■</v>
      </c>
      <c r="AD73" s="37" t="str">
        <f aca="false">IF(AND(AD$5&gt;=$K73,AD$5&lt;=$L73,COUNTIF(휴일!$A$2:$A$20,AD$5)=0),IF($G73="선택","□","■"),"")</f>
        <v/>
      </c>
      <c r="AE73" s="37" t="str">
        <f aca="false">IF(AND(AE$5&gt;=$K73,AE$5&lt;=$L73,COUNTIF(휴일!$A$2:$A$20,AE$5)=0),IF($G73="선택","□","■"),"")</f>
        <v/>
      </c>
      <c r="AF73" s="37" t="str">
        <f aca="false">IF(AND(AF$5&gt;=$K73,AF$5&lt;=$L73,COUNTIF(휴일!$A$2:$A$20,AF$5)=0),IF($G73="선택","□","■"),"")</f>
        <v/>
      </c>
    </row>
    <row r="74" customFormat="false" ht="30" hidden="false" customHeight="true" outlineLevel="0" collapsed="false">
      <c r="B74" s="23"/>
      <c r="C74" s="24"/>
      <c r="D74" s="25"/>
      <c r="E74" s="26" t="s">
        <v>262</v>
      </c>
      <c r="F74" s="27" t="s">
        <v>263</v>
      </c>
      <c r="G74" s="28" t="s">
        <v>30</v>
      </c>
      <c r="H74" s="28" t="s">
        <v>31</v>
      </c>
      <c r="I74" s="29" t="s">
        <v>264</v>
      </c>
      <c r="J74" s="30" t="s">
        <v>265</v>
      </c>
      <c r="K74" s="31" t="n">
        <v>46325</v>
      </c>
      <c r="L74" s="31" t="n">
        <v>46325</v>
      </c>
      <c r="M74" s="31"/>
      <c r="N74" s="31"/>
      <c r="O74" s="32" t="n">
        <f aca="false">IF(OR(K74="",L74=""),0,L74-K74+1-COUNTIFS(휴일!$A$2:$A$20,"&gt;="&amp;K74,휴일!$A$2:$A$20,"&lt;="&amp;L74))</f>
        <v>1</v>
      </c>
      <c r="P74" s="32" t="n">
        <f aca="false">IF(OR(M74="",N74=""),0,N74-M74+1-COUNTIFS(휴일!$A$2:$A$20,"&gt;="&amp;M74,휴일!$A$2:$A$20,"&lt;="&amp;N74))</f>
        <v>0</v>
      </c>
      <c r="Q74" s="33" t="n">
        <f aca="false">IF(O74=0,0,MAX(0,MIN(O74,$L$1-K74+1-COUNTIFS(휴일!$A$2:$A$20,"&gt;="&amp;K74,휴일!$A$2:$A$20,"&lt;="&amp;$L$1))))</f>
        <v>0</v>
      </c>
      <c r="R74" s="33" t="n">
        <f aca="false">IF(P74=0,0,MIN(P74,O74))</f>
        <v>0</v>
      </c>
      <c r="S74" s="34" t="n">
        <f aca="false">IFERROR(Q74/O74,0)</f>
        <v>0</v>
      </c>
      <c r="T74" s="34" t="n">
        <f aca="false">IFERROR(R74/O74,0)</f>
        <v>0</v>
      </c>
      <c r="U74" s="35" t="n">
        <f aca="false">IF(OR(O74=0,R74=0),0,MIN(1,R74/O74))</f>
        <v>0</v>
      </c>
      <c r="V74" s="36" t="n">
        <f aca="false">U74-S74</f>
        <v>0</v>
      </c>
      <c r="W74" s="37" t="str">
        <f aca="false">IF(AND(W$5&gt;=$K74,W$5&lt;=$L74,COUNTIF(휴일!$A$2:$A$20,W$5)=0),IF($G74="선택","□","■"),"")</f>
        <v/>
      </c>
      <c r="X74" s="37" t="str">
        <f aca="false">IF(AND(X$5&gt;=$K74,X$5&lt;=$L74,COUNTIF(휴일!$A$2:$A$20,X$5)=0),IF($G74="선택","□","■"),"")</f>
        <v/>
      </c>
      <c r="Y74" s="37" t="str">
        <f aca="false">IF(AND(Y$5&gt;=$K74,Y$5&lt;=$L74,COUNTIF(휴일!$A$2:$A$20,Y$5)=0),IF($G74="선택","□","■"),"")</f>
        <v/>
      </c>
      <c r="Z74" s="37" t="str">
        <f aca="false">IF(AND(Z$5&gt;=$K74,Z$5&lt;=$L74,COUNTIF(휴일!$A$2:$A$20,Z$5)=0),IF($G74="선택","□","■"),"")</f>
        <v>■</v>
      </c>
      <c r="AA74" s="37" t="str">
        <f aca="false">IF(AND(AA$5&gt;=$K74,AA$5&lt;=$L74,COUNTIF(휴일!$A$2:$A$20,AA$5)=0),IF($G74="선택","□","■"),"")</f>
        <v/>
      </c>
      <c r="AB74" s="37" t="str">
        <f aca="false">IF(AND(AB$5&gt;=$K74,AB$5&lt;=$L74,COUNTIF(휴일!$A$2:$A$20,AB$5)=0),IF($G74="선택","□","■"),"")</f>
        <v/>
      </c>
      <c r="AC74" s="37" t="str">
        <f aca="false">IF(AND(AC$5&gt;=$K74,AC$5&lt;=$L74,COUNTIF(휴일!$A$2:$A$20,AC$5)=0),IF($G74="선택","□","■"),"")</f>
        <v/>
      </c>
      <c r="AD74" s="37" t="str">
        <f aca="false">IF(AND(AD$5&gt;=$K74,AD$5&lt;=$L74,COUNTIF(휴일!$A$2:$A$20,AD$5)=0),IF($G74="선택","□","■"),"")</f>
        <v/>
      </c>
      <c r="AE74" s="37" t="str">
        <f aca="false">IF(AND(AE$5&gt;=$K74,AE$5&lt;=$L74,COUNTIF(휴일!$A$2:$A$20,AE$5)=0),IF($G74="선택","□","■"),"")</f>
        <v/>
      </c>
      <c r="AF74" s="37" t="str">
        <f aca="false">IF(AND(AF$5&gt;=$K74,AF$5&lt;=$L74,COUNTIF(휴일!$A$2:$A$20,AF$5)=0),IF($G74="선택","□","■"),"")</f>
        <v/>
      </c>
    </row>
    <row r="75" customFormat="false" ht="30" hidden="false" customHeight="true" outlineLevel="0" collapsed="false">
      <c r="B75" s="23"/>
      <c r="C75" s="24"/>
      <c r="D75" s="25"/>
      <c r="E75" s="26" t="s">
        <v>262</v>
      </c>
      <c r="F75" s="27" t="s">
        <v>266</v>
      </c>
      <c r="G75" s="28" t="s">
        <v>30</v>
      </c>
      <c r="H75" s="28" t="s">
        <v>31</v>
      </c>
      <c r="I75" s="29" t="s">
        <v>264</v>
      </c>
      <c r="J75" s="30" t="s">
        <v>267</v>
      </c>
      <c r="K75" s="31" t="n">
        <v>46328</v>
      </c>
      <c r="L75" s="31" t="n">
        <v>46328</v>
      </c>
      <c r="M75" s="31"/>
      <c r="N75" s="31"/>
      <c r="O75" s="32" t="n">
        <f aca="false">IF(OR(K75="",L75=""),0,L75-K75+1-COUNTIFS(휴일!$A$2:$A$20,"&gt;="&amp;K75,휴일!$A$2:$A$20,"&lt;="&amp;L75))</f>
        <v>1</v>
      </c>
      <c r="P75" s="32" t="n">
        <f aca="false">IF(OR(M75="",N75=""),0,N75-M75+1-COUNTIFS(휴일!$A$2:$A$20,"&gt;="&amp;M75,휴일!$A$2:$A$20,"&lt;="&amp;N75))</f>
        <v>0</v>
      </c>
      <c r="Q75" s="33" t="n">
        <f aca="false">IF(O75=0,0,MAX(0,MIN(O75,$L$1-K75+1-COUNTIFS(휴일!$A$2:$A$20,"&gt;="&amp;K75,휴일!$A$2:$A$20,"&lt;="&amp;$L$1))))</f>
        <v>0</v>
      </c>
      <c r="R75" s="33" t="n">
        <f aca="false">IF(P75=0,0,MIN(P75,O75))</f>
        <v>0</v>
      </c>
      <c r="S75" s="34" t="n">
        <f aca="false">IFERROR(Q75/O75,0)</f>
        <v>0</v>
      </c>
      <c r="T75" s="34" t="n">
        <f aca="false">IFERROR(R75/O75,0)</f>
        <v>0</v>
      </c>
      <c r="U75" s="35" t="n">
        <f aca="false">IF(OR(O75=0,R75=0),0,MIN(1,R75/O75))</f>
        <v>0</v>
      </c>
      <c r="V75" s="36" t="n">
        <f aca="false">U75-S75</f>
        <v>0</v>
      </c>
      <c r="W75" s="37" t="str">
        <f aca="false">IF(AND(W$5&gt;=$K75,W$5&lt;=$L75,COUNTIF(휴일!$A$2:$A$20,W$5)=0),IF($G75="선택","□","■"),"")</f>
        <v/>
      </c>
      <c r="X75" s="37" t="str">
        <f aca="false">IF(AND(X$5&gt;=$K75,X$5&lt;=$L75,COUNTIF(휴일!$A$2:$A$20,X$5)=0),IF($G75="선택","□","■"),"")</f>
        <v/>
      </c>
      <c r="Y75" s="37" t="str">
        <f aca="false">IF(AND(Y$5&gt;=$K75,Y$5&lt;=$L75,COUNTIF(휴일!$A$2:$A$20,Y$5)=0),IF($G75="선택","□","■"),"")</f>
        <v/>
      </c>
      <c r="Z75" s="37" t="str">
        <f aca="false">IF(AND(Z$5&gt;=$K75,Z$5&lt;=$L75,COUNTIF(휴일!$A$2:$A$20,Z$5)=0),IF($G75="선택","□","■"),"")</f>
        <v/>
      </c>
      <c r="AA75" s="37" t="str">
        <f aca="false">IF(AND(AA$5&gt;=$K75,AA$5&lt;=$L75,COUNTIF(휴일!$A$2:$A$20,AA$5)=0),IF($G75="선택","□","■"),"")</f>
        <v/>
      </c>
      <c r="AB75" s="37" t="str">
        <f aca="false">IF(AND(AB$5&gt;=$K75,AB$5&lt;=$L75,COUNTIF(휴일!$A$2:$A$20,AB$5)=0),IF($G75="선택","□","■"),"")</f>
        <v/>
      </c>
      <c r="AC75" s="37" t="str">
        <f aca="false">IF(AND(AC$5&gt;=$K75,AC$5&lt;=$L75,COUNTIF(휴일!$A$2:$A$20,AC$5)=0),IF($G75="선택","□","■"),"")</f>
        <v>■</v>
      </c>
      <c r="AD75" s="37" t="str">
        <f aca="false">IF(AND(AD$5&gt;=$K75,AD$5&lt;=$L75,COUNTIF(휴일!$A$2:$A$20,AD$5)=0),IF($G75="선택","□","■"),"")</f>
        <v/>
      </c>
      <c r="AE75" s="37" t="str">
        <f aca="false">IF(AND(AE$5&gt;=$K75,AE$5&lt;=$L75,COUNTIF(휴일!$A$2:$A$20,AE$5)=0),IF($G75="선택","□","■"),"")</f>
        <v/>
      </c>
      <c r="AF75" s="37" t="str">
        <f aca="false">IF(AND(AF$5&gt;=$K75,AF$5&lt;=$L75,COUNTIF(휴일!$A$2:$A$20,AF$5)=0),IF($G75="선택","□","■"),"")</f>
        <v/>
      </c>
    </row>
    <row r="76" customFormat="false" ht="30" hidden="false" customHeight="true" outlineLevel="0" collapsed="false">
      <c r="B76" s="23"/>
      <c r="C76" s="24"/>
      <c r="D76" s="25"/>
      <c r="E76" s="26" t="s">
        <v>262</v>
      </c>
      <c r="F76" s="27" t="s">
        <v>268</v>
      </c>
      <c r="G76" s="28" t="s">
        <v>30</v>
      </c>
      <c r="H76" s="28" t="s">
        <v>31</v>
      </c>
      <c r="I76" s="29" t="s">
        <v>264</v>
      </c>
      <c r="J76" s="30" t="s">
        <v>269</v>
      </c>
      <c r="K76" s="31" t="n">
        <v>46328</v>
      </c>
      <c r="L76" s="31" t="n">
        <v>46328</v>
      </c>
      <c r="M76" s="31"/>
      <c r="N76" s="31"/>
      <c r="O76" s="32" t="n">
        <f aca="false">IF(OR(K76="",L76=""),0,L76-K76+1-COUNTIFS(휴일!$A$2:$A$20,"&gt;="&amp;K76,휴일!$A$2:$A$20,"&lt;="&amp;L76))</f>
        <v>1</v>
      </c>
      <c r="P76" s="32" t="n">
        <f aca="false">IF(OR(M76="",N76=""),0,N76-M76+1-COUNTIFS(휴일!$A$2:$A$20,"&gt;="&amp;M76,휴일!$A$2:$A$20,"&lt;="&amp;N76))</f>
        <v>0</v>
      </c>
      <c r="Q76" s="33" t="n">
        <f aca="false">IF(O76=0,0,MAX(0,MIN(O76,$L$1-K76+1-COUNTIFS(휴일!$A$2:$A$20,"&gt;="&amp;K76,휴일!$A$2:$A$20,"&lt;="&amp;$L$1))))</f>
        <v>0</v>
      </c>
      <c r="R76" s="33" t="n">
        <f aca="false">IF(P76=0,0,MIN(P76,O76))</f>
        <v>0</v>
      </c>
      <c r="S76" s="34" t="n">
        <f aca="false">IFERROR(Q76/O76,0)</f>
        <v>0</v>
      </c>
      <c r="T76" s="34" t="n">
        <f aca="false">IFERROR(R76/O76,0)</f>
        <v>0</v>
      </c>
      <c r="U76" s="35" t="n">
        <f aca="false">IF(OR(O76=0,R76=0),0,MIN(1,R76/O76))</f>
        <v>0</v>
      </c>
      <c r="V76" s="36" t="n">
        <f aca="false">U76-S76</f>
        <v>0</v>
      </c>
      <c r="W76" s="37" t="str">
        <f aca="false">IF(AND(W$5&gt;=$K76,W$5&lt;=$L76,COUNTIF(휴일!$A$2:$A$20,W$5)=0),IF($G76="선택","□","■"),"")</f>
        <v/>
      </c>
      <c r="X76" s="37" t="str">
        <f aca="false">IF(AND(X$5&gt;=$K76,X$5&lt;=$L76,COUNTIF(휴일!$A$2:$A$20,X$5)=0),IF($G76="선택","□","■"),"")</f>
        <v/>
      </c>
      <c r="Y76" s="37" t="str">
        <f aca="false">IF(AND(Y$5&gt;=$K76,Y$5&lt;=$L76,COUNTIF(휴일!$A$2:$A$20,Y$5)=0),IF($G76="선택","□","■"),"")</f>
        <v/>
      </c>
      <c r="Z76" s="37" t="str">
        <f aca="false">IF(AND(Z$5&gt;=$K76,Z$5&lt;=$L76,COUNTIF(휴일!$A$2:$A$20,Z$5)=0),IF($G76="선택","□","■"),"")</f>
        <v/>
      </c>
      <c r="AA76" s="37" t="str">
        <f aca="false">IF(AND(AA$5&gt;=$K76,AA$5&lt;=$L76,COUNTIF(휴일!$A$2:$A$20,AA$5)=0),IF($G76="선택","□","■"),"")</f>
        <v/>
      </c>
      <c r="AB76" s="37" t="str">
        <f aca="false">IF(AND(AB$5&gt;=$K76,AB$5&lt;=$L76,COUNTIF(휴일!$A$2:$A$20,AB$5)=0),IF($G76="선택","□","■"),"")</f>
        <v/>
      </c>
      <c r="AC76" s="37" t="str">
        <f aca="false">IF(AND(AC$5&gt;=$K76,AC$5&lt;=$L76,COUNTIF(휴일!$A$2:$A$20,AC$5)=0),IF($G76="선택","□","■"),"")</f>
        <v>■</v>
      </c>
      <c r="AD76" s="37" t="str">
        <f aca="false">IF(AND(AD$5&gt;=$K76,AD$5&lt;=$L76,COUNTIF(휴일!$A$2:$A$20,AD$5)=0),IF($G76="선택","□","■"),"")</f>
        <v/>
      </c>
      <c r="AE76" s="37" t="str">
        <f aca="false">IF(AND(AE$5&gt;=$K76,AE$5&lt;=$L76,COUNTIF(휴일!$A$2:$A$20,AE$5)=0),IF($G76="선택","□","■"),"")</f>
        <v/>
      </c>
      <c r="AF76" s="37" t="str">
        <f aca="false">IF(AND(AF$5&gt;=$K76,AF$5&lt;=$L76,COUNTIF(휴일!$A$2:$A$20,AF$5)=0),IF($G76="선택","□","■"),"")</f>
        <v/>
      </c>
    </row>
    <row r="77" customFormat="false" ht="30" hidden="false" customHeight="true" outlineLevel="0" collapsed="false">
      <c r="B77" s="23"/>
      <c r="C77" s="24"/>
      <c r="D77" s="25"/>
      <c r="E77" s="26" t="s">
        <v>270</v>
      </c>
      <c r="F77" s="27" t="s">
        <v>271</v>
      </c>
      <c r="G77" s="28" t="s">
        <v>30</v>
      </c>
      <c r="H77" s="28" t="s">
        <v>31</v>
      </c>
      <c r="I77" s="29" t="s">
        <v>272</v>
      </c>
      <c r="J77" s="30" t="s">
        <v>273</v>
      </c>
      <c r="K77" s="31" t="n">
        <v>46325</v>
      </c>
      <c r="L77" s="31" t="n">
        <v>46325</v>
      </c>
      <c r="M77" s="31"/>
      <c r="N77" s="31"/>
      <c r="O77" s="32" t="n">
        <f aca="false">IF(OR(K77="",L77=""),0,L77-K77+1-COUNTIFS(휴일!$A$2:$A$20,"&gt;="&amp;K77,휴일!$A$2:$A$20,"&lt;="&amp;L77))</f>
        <v>1</v>
      </c>
      <c r="P77" s="32" t="n">
        <f aca="false">IF(OR(M77="",N77=""),0,N77-M77+1-COUNTIFS(휴일!$A$2:$A$20,"&gt;="&amp;M77,휴일!$A$2:$A$20,"&lt;="&amp;N77))</f>
        <v>0</v>
      </c>
      <c r="Q77" s="33" t="n">
        <f aca="false">IF(O77=0,0,MAX(0,MIN(O77,$L$1-K77+1-COUNTIFS(휴일!$A$2:$A$20,"&gt;="&amp;K77,휴일!$A$2:$A$20,"&lt;="&amp;$L$1))))</f>
        <v>0</v>
      </c>
      <c r="R77" s="33" t="n">
        <f aca="false">IF(P77=0,0,MIN(P77,O77))</f>
        <v>0</v>
      </c>
      <c r="S77" s="34" t="n">
        <f aca="false">IFERROR(Q77/O77,0)</f>
        <v>0</v>
      </c>
      <c r="T77" s="34" t="n">
        <f aca="false">IFERROR(R77/O77,0)</f>
        <v>0</v>
      </c>
      <c r="U77" s="35" t="n">
        <f aca="false">IF(OR(O77=0,R77=0),0,MIN(1,R77/O77))</f>
        <v>0</v>
      </c>
      <c r="V77" s="36" t="n">
        <f aca="false">U77-S77</f>
        <v>0</v>
      </c>
      <c r="W77" s="37" t="str">
        <f aca="false">IF(AND(W$5&gt;=$K77,W$5&lt;=$L77,COUNTIF(휴일!$A$2:$A$20,W$5)=0),IF($G77="선택","□","■"),"")</f>
        <v/>
      </c>
      <c r="X77" s="37" t="str">
        <f aca="false">IF(AND(X$5&gt;=$K77,X$5&lt;=$L77,COUNTIF(휴일!$A$2:$A$20,X$5)=0),IF($G77="선택","□","■"),"")</f>
        <v/>
      </c>
      <c r="Y77" s="37" t="str">
        <f aca="false">IF(AND(Y$5&gt;=$K77,Y$5&lt;=$L77,COUNTIF(휴일!$A$2:$A$20,Y$5)=0),IF($G77="선택","□","■"),"")</f>
        <v/>
      </c>
      <c r="Z77" s="37" t="str">
        <f aca="false">IF(AND(Z$5&gt;=$K77,Z$5&lt;=$L77,COUNTIF(휴일!$A$2:$A$20,Z$5)=0),IF($G77="선택","□","■"),"")</f>
        <v>■</v>
      </c>
      <c r="AA77" s="37" t="str">
        <f aca="false">IF(AND(AA$5&gt;=$K77,AA$5&lt;=$L77,COUNTIF(휴일!$A$2:$A$20,AA$5)=0),IF($G77="선택","□","■"),"")</f>
        <v/>
      </c>
      <c r="AB77" s="37" t="str">
        <f aca="false">IF(AND(AB$5&gt;=$K77,AB$5&lt;=$L77,COUNTIF(휴일!$A$2:$A$20,AB$5)=0),IF($G77="선택","□","■"),"")</f>
        <v/>
      </c>
      <c r="AC77" s="37" t="str">
        <f aca="false">IF(AND(AC$5&gt;=$K77,AC$5&lt;=$L77,COUNTIF(휴일!$A$2:$A$20,AC$5)=0),IF($G77="선택","□","■"),"")</f>
        <v/>
      </c>
      <c r="AD77" s="37" t="str">
        <f aca="false">IF(AND(AD$5&gt;=$K77,AD$5&lt;=$L77,COUNTIF(휴일!$A$2:$A$20,AD$5)=0),IF($G77="선택","□","■"),"")</f>
        <v/>
      </c>
      <c r="AE77" s="37" t="str">
        <f aca="false">IF(AND(AE$5&gt;=$K77,AE$5&lt;=$L77,COUNTIF(휴일!$A$2:$A$20,AE$5)=0),IF($G77="선택","□","■"),"")</f>
        <v/>
      </c>
      <c r="AF77" s="37" t="str">
        <f aca="false">IF(AND(AF$5&gt;=$K77,AF$5&lt;=$L77,COUNTIF(휴일!$A$2:$A$20,AF$5)=0),IF($G77="선택","□","■"),"")</f>
        <v/>
      </c>
    </row>
    <row r="78" customFormat="false" ht="30" hidden="false" customHeight="true" outlineLevel="0" collapsed="false">
      <c r="B78" s="23"/>
      <c r="C78" s="24"/>
      <c r="D78" s="25"/>
      <c r="E78" s="26" t="s">
        <v>270</v>
      </c>
      <c r="F78" s="27" t="s">
        <v>274</v>
      </c>
      <c r="G78" s="28" t="s">
        <v>30</v>
      </c>
      <c r="H78" s="28" t="s">
        <v>31</v>
      </c>
      <c r="I78" s="29" t="s">
        <v>275</v>
      </c>
      <c r="J78" s="30" t="s">
        <v>276</v>
      </c>
      <c r="K78" s="31" t="n">
        <v>46325</v>
      </c>
      <c r="L78" s="31" t="n">
        <v>46325</v>
      </c>
      <c r="M78" s="31"/>
      <c r="N78" s="31"/>
      <c r="O78" s="32" t="n">
        <f aca="false">IF(OR(K78="",L78=""),0,L78-K78+1-COUNTIFS(휴일!$A$2:$A$20,"&gt;="&amp;K78,휴일!$A$2:$A$20,"&lt;="&amp;L78))</f>
        <v>1</v>
      </c>
      <c r="P78" s="32" t="n">
        <f aca="false">IF(OR(M78="",N78=""),0,N78-M78+1-COUNTIFS(휴일!$A$2:$A$20,"&gt;="&amp;M78,휴일!$A$2:$A$20,"&lt;="&amp;N78))</f>
        <v>0</v>
      </c>
      <c r="Q78" s="33" t="n">
        <f aca="false">IF(O78=0,0,MAX(0,MIN(O78,$L$1-K78+1-COUNTIFS(휴일!$A$2:$A$20,"&gt;="&amp;K78,휴일!$A$2:$A$20,"&lt;="&amp;$L$1))))</f>
        <v>0</v>
      </c>
      <c r="R78" s="33" t="n">
        <f aca="false">IF(P78=0,0,MIN(P78,O78))</f>
        <v>0</v>
      </c>
      <c r="S78" s="34" t="n">
        <f aca="false">IFERROR(Q78/O78,0)</f>
        <v>0</v>
      </c>
      <c r="T78" s="34" t="n">
        <f aca="false">IFERROR(R78/O78,0)</f>
        <v>0</v>
      </c>
      <c r="U78" s="35" t="n">
        <f aca="false">IF(OR(O78=0,R78=0),0,MIN(1,R78/O78))</f>
        <v>0</v>
      </c>
      <c r="V78" s="36" t="n">
        <f aca="false">U78-S78</f>
        <v>0</v>
      </c>
      <c r="W78" s="37" t="str">
        <f aca="false">IF(AND(W$5&gt;=$K78,W$5&lt;=$L78,COUNTIF(휴일!$A$2:$A$20,W$5)=0),IF($G78="선택","□","■"),"")</f>
        <v/>
      </c>
      <c r="X78" s="37" t="str">
        <f aca="false">IF(AND(X$5&gt;=$K78,X$5&lt;=$L78,COUNTIF(휴일!$A$2:$A$20,X$5)=0),IF($G78="선택","□","■"),"")</f>
        <v/>
      </c>
      <c r="Y78" s="37" t="str">
        <f aca="false">IF(AND(Y$5&gt;=$K78,Y$5&lt;=$L78,COUNTIF(휴일!$A$2:$A$20,Y$5)=0),IF($G78="선택","□","■"),"")</f>
        <v/>
      </c>
      <c r="Z78" s="37" t="str">
        <f aca="false">IF(AND(Z$5&gt;=$K78,Z$5&lt;=$L78,COUNTIF(휴일!$A$2:$A$20,Z$5)=0),IF($G78="선택","□","■"),"")</f>
        <v>■</v>
      </c>
      <c r="AA78" s="37" t="str">
        <f aca="false">IF(AND(AA$5&gt;=$K78,AA$5&lt;=$L78,COUNTIF(휴일!$A$2:$A$20,AA$5)=0),IF($G78="선택","□","■"),"")</f>
        <v/>
      </c>
      <c r="AB78" s="37" t="str">
        <f aca="false">IF(AND(AB$5&gt;=$K78,AB$5&lt;=$L78,COUNTIF(휴일!$A$2:$A$20,AB$5)=0),IF($G78="선택","□","■"),"")</f>
        <v/>
      </c>
      <c r="AC78" s="37" t="str">
        <f aca="false">IF(AND(AC$5&gt;=$K78,AC$5&lt;=$L78,COUNTIF(휴일!$A$2:$A$20,AC$5)=0),IF($G78="선택","□","■"),"")</f>
        <v/>
      </c>
      <c r="AD78" s="37" t="str">
        <f aca="false">IF(AND(AD$5&gt;=$K78,AD$5&lt;=$L78,COUNTIF(휴일!$A$2:$A$20,AD$5)=0),IF($G78="선택","□","■"),"")</f>
        <v/>
      </c>
      <c r="AE78" s="37" t="str">
        <f aca="false">IF(AND(AE$5&gt;=$K78,AE$5&lt;=$L78,COUNTIF(휴일!$A$2:$A$20,AE$5)=0),IF($G78="선택","□","■"),"")</f>
        <v/>
      </c>
      <c r="AF78" s="37" t="str">
        <f aca="false">IF(AND(AF$5&gt;=$K78,AF$5&lt;=$L78,COUNTIF(휴일!$A$2:$A$20,AF$5)=0),IF($G78="선택","□","■"),"")</f>
        <v/>
      </c>
    </row>
    <row r="79" customFormat="false" ht="30" hidden="false" customHeight="true" outlineLevel="0" collapsed="false">
      <c r="B79" s="23"/>
      <c r="C79" s="24"/>
      <c r="D79" s="25"/>
      <c r="E79" s="26" t="s">
        <v>277</v>
      </c>
      <c r="F79" s="27" t="s">
        <v>278</v>
      </c>
      <c r="G79" s="28" t="s">
        <v>30</v>
      </c>
      <c r="H79" s="28" t="s">
        <v>31</v>
      </c>
      <c r="I79" s="29" t="s">
        <v>279</v>
      </c>
      <c r="J79" s="30" t="s">
        <v>280</v>
      </c>
      <c r="K79" s="31" t="n">
        <v>46328</v>
      </c>
      <c r="L79" s="31" t="n">
        <v>46328</v>
      </c>
      <c r="M79" s="31"/>
      <c r="N79" s="31"/>
      <c r="O79" s="32" t="n">
        <f aca="false">IF(OR(K79="",L79=""),0,L79-K79+1-COUNTIFS(휴일!$A$2:$A$20,"&gt;="&amp;K79,휴일!$A$2:$A$20,"&lt;="&amp;L79))</f>
        <v>1</v>
      </c>
      <c r="P79" s="32" t="n">
        <f aca="false">IF(OR(M79="",N79=""),0,N79-M79+1-COUNTIFS(휴일!$A$2:$A$20,"&gt;="&amp;M79,휴일!$A$2:$A$20,"&lt;="&amp;N79))</f>
        <v>0</v>
      </c>
      <c r="Q79" s="33" t="n">
        <f aca="false">IF(O79=0,0,MAX(0,MIN(O79,$L$1-K79+1-COUNTIFS(휴일!$A$2:$A$20,"&gt;="&amp;K79,휴일!$A$2:$A$20,"&lt;="&amp;$L$1))))</f>
        <v>0</v>
      </c>
      <c r="R79" s="33" t="n">
        <f aca="false">IF(P79=0,0,MIN(P79,O79))</f>
        <v>0</v>
      </c>
      <c r="S79" s="34" t="n">
        <f aca="false">IFERROR(Q79/O79,0)</f>
        <v>0</v>
      </c>
      <c r="T79" s="34" t="n">
        <f aca="false">IFERROR(R79/O79,0)</f>
        <v>0</v>
      </c>
      <c r="U79" s="35" t="n">
        <f aca="false">IF(OR(O79=0,R79=0),0,MIN(1,R79/O79))</f>
        <v>0</v>
      </c>
      <c r="V79" s="36" t="n">
        <f aca="false">U79-S79</f>
        <v>0</v>
      </c>
      <c r="W79" s="37" t="str">
        <f aca="false">IF(AND(W$5&gt;=$K79,W$5&lt;=$L79,COUNTIF(휴일!$A$2:$A$20,W$5)=0),IF($G79="선택","□","■"),"")</f>
        <v/>
      </c>
      <c r="X79" s="37" t="str">
        <f aca="false">IF(AND(X$5&gt;=$K79,X$5&lt;=$L79,COUNTIF(휴일!$A$2:$A$20,X$5)=0),IF($G79="선택","□","■"),"")</f>
        <v/>
      </c>
      <c r="Y79" s="37" t="str">
        <f aca="false">IF(AND(Y$5&gt;=$K79,Y$5&lt;=$L79,COUNTIF(휴일!$A$2:$A$20,Y$5)=0),IF($G79="선택","□","■"),"")</f>
        <v/>
      </c>
      <c r="Z79" s="37" t="str">
        <f aca="false">IF(AND(Z$5&gt;=$K79,Z$5&lt;=$L79,COUNTIF(휴일!$A$2:$A$20,Z$5)=0),IF($G79="선택","□","■"),"")</f>
        <v/>
      </c>
      <c r="AA79" s="37" t="str">
        <f aca="false">IF(AND(AA$5&gt;=$K79,AA$5&lt;=$L79,COUNTIF(휴일!$A$2:$A$20,AA$5)=0),IF($G79="선택","□","■"),"")</f>
        <v/>
      </c>
      <c r="AB79" s="37" t="str">
        <f aca="false">IF(AND(AB$5&gt;=$K79,AB$5&lt;=$L79,COUNTIF(휴일!$A$2:$A$20,AB$5)=0),IF($G79="선택","□","■"),"")</f>
        <v/>
      </c>
      <c r="AC79" s="37" t="str">
        <f aca="false">IF(AND(AC$5&gt;=$K79,AC$5&lt;=$L79,COUNTIF(휴일!$A$2:$A$20,AC$5)=0),IF($G79="선택","□","■"),"")</f>
        <v>■</v>
      </c>
      <c r="AD79" s="37" t="str">
        <f aca="false">IF(AND(AD$5&gt;=$K79,AD$5&lt;=$L79,COUNTIF(휴일!$A$2:$A$20,AD$5)=0),IF($G79="선택","□","■"),"")</f>
        <v/>
      </c>
      <c r="AE79" s="37" t="str">
        <f aca="false">IF(AND(AE$5&gt;=$K79,AE$5&lt;=$L79,COUNTIF(휴일!$A$2:$A$20,AE$5)=0),IF($G79="선택","□","■"),"")</f>
        <v/>
      </c>
      <c r="AF79" s="37" t="str">
        <f aca="false">IF(AND(AF$5&gt;=$K79,AF$5&lt;=$L79,COUNTIF(휴일!$A$2:$A$20,AF$5)=0),IF($G79="선택","□","■"),"")</f>
        <v/>
      </c>
    </row>
    <row r="80" customFormat="false" ht="30" hidden="false" customHeight="true" outlineLevel="0" collapsed="false">
      <c r="B80" s="23"/>
      <c r="C80" s="24"/>
      <c r="D80" s="25"/>
      <c r="E80" s="26" t="s">
        <v>281</v>
      </c>
      <c r="F80" s="27" t="s">
        <v>282</v>
      </c>
      <c r="G80" s="28" t="s">
        <v>30</v>
      </c>
      <c r="H80" s="28" t="s">
        <v>31</v>
      </c>
      <c r="I80" s="29" t="s">
        <v>283</v>
      </c>
      <c r="J80" s="30" t="s">
        <v>284</v>
      </c>
      <c r="K80" s="31" t="n">
        <v>46328</v>
      </c>
      <c r="L80" s="31" t="n">
        <v>46329</v>
      </c>
      <c r="M80" s="31"/>
      <c r="N80" s="31"/>
      <c r="O80" s="32" t="n">
        <f aca="false">IF(OR(K80="",L80=""),0,L80-K80+1-COUNTIFS(휴일!$A$2:$A$20,"&gt;="&amp;K80,휴일!$A$2:$A$20,"&lt;="&amp;L80))</f>
        <v>2</v>
      </c>
      <c r="P80" s="32" t="n">
        <f aca="false">IF(OR(M80="",N80=""),0,N80-M80+1-COUNTIFS(휴일!$A$2:$A$20,"&gt;="&amp;M80,휴일!$A$2:$A$20,"&lt;="&amp;N80))</f>
        <v>0</v>
      </c>
      <c r="Q80" s="33" t="n">
        <f aca="false">IF(O80=0,0,MAX(0,MIN(O80,$L$1-K80+1-COUNTIFS(휴일!$A$2:$A$20,"&gt;="&amp;K80,휴일!$A$2:$A$20,"&lt;="&amp;$L$1))))</f>
        <v>0</v>
      </c>
      <c r="R80" s="33" t="n">
        <f aca="false">IF(P80=0,0,MIN(P80,O80))</f>
        <v>0</v>
      </c>
      <c r="S80" s="34" t="n">
        <f aca="false">IFERROR(Q80/O80,0)</f>
        <v>0</v>
      </c>
      <c r="T80" s="34" t="n">
        <f aca="false">IFERROR(R80/O80,0)</f>
        <v>0</v>
      </c>
      <c r="U80" s="35" t="n">
        <f aca="false">IF(OR(O80=0,R80=0),0,MIN(1,R80/O80))</f>
        <v>0</v>
      </c>
      <c r="V80" s="36" t="n">
        <f aca="false">U80-S80</f>
        <v>0</v>
      </c>
      <c r="W80" s="37" t="str">
        <f aca="false">IF(AND(W$5&gt;=$K80,W$5&lt;=$L80,COUNTIF(휴일!$A$2:$A$20,W$5)=0),IF($G80="선택","□","■"),"")</f>
        <v/>
      </c>
      <c r="X80" s="37" t="str">
        <f aca="false">IF(AND(X$5&gt;=$K80,X$5&lt;=$L80,COUNTIF(휴일!$A$2:$A$20,X$5)=0),IF($G80="선택","□","■"),"")</f>
        <v/>
      </c>
      <c r="Y80" s="37" t="str">
        <f aca="false">IF(AND(Y$5&gt;=$K80,Y$5&lt;=$L80,COUNTIF(휴일!$A$2:$A$20,Y$5)=0),IF($G80="선택","□","■"),"")</f>
        <v/>
      </c>
      <c r="Z80" s="37" t="str">
        <f aca="false">IF(AND(Z$5&gt;=$K80,Z$5&lt;=$L80,COUNTIF(휴일!$A$2:$A$20,Z$5)=0),IF($G80="선택","□","■"),"")</f>
        <v/>
      </c>
      <c r="AA80" s="37" t="str">
        <f aca="false">IF(AND(AA$5&gt;=$K80,AA$5&lt;=$L80,COUNTIF(휴일!$A$2:$A$20,AA$5)=0),IF($G80="선택","□","■"),"")</f>
        <v/>
      </c>
      <c r="AB80" s="37" t="str">
        <f aca="false">IF(AND(AB$5&gt;=$K80,AB$5&lt;=$L80,COUNTIF(휴일!$A$2:$A$20,AB$5)=0),IF($G80="선택","□","■"),"")</f>
        <v/>
      </c>
      <c r="AC80" s="37" t="str">
        <f aca="false">IF(AND(AC$5&gt;=$K80,AC$5&lt;=$L80,COUNTIF(휴일!$A$2:$A$20,AC$5)=0),IF($G80="선택","□","■"),"")</f>
        <v>■</v>
      </c>
      <c r="AD80" s="37" t="str">
        <f aca="false">IF(AND(AD$5&gt;=$K80,AD$5&lt;=$L80,COUNTIF(휴일!$A$2:$A$20,AD$5)=0),IF($G80="선택","□","■"),"")</f>
        <v>■</v>
      </c>
      <c r="AE80" s="37" t="str">
        <f aca="false">IF(AND(AE$5&gt;=$K80,AE$5&lt;=$L80,COUNTIF(휴일!$A$2:$A$20,AE$5)=0),IF($G80="선택","□","■"),"")</f>
        <v/>
      </c>
      <c r="AF80" s="37" t="str">
        <f aca="false">IF(AND(AF$5&gt;=$K80,AF$5&lt;=$L80,COUNTIF(휴일!$A$2:$A$20,AF$5)=0),IF($G80="선택","□","■"),"")</f>
        <v/>
      </c>
    </row>
    <row r="81" customFormat="false" ht="30" hidden="false" customHeight="true" outlineLevel="0" collapsed="false">
      <c r="B81" s="23"/>
      <c r="C81" s="24"/>
      <c r="D81" s="25"/>
      <c r="E81" s="26" t="s">
        <v>285</v>
      </c>
      <c r="F81" s="27" t="s">
        <v>286</v>
      </c>
      <c r="G81" s="28" t="s">
        <v>30</v>
      </c>
      <c r="H81" s="28" t="s">
        <v>31</v>
      </c>
      <c r="I81" s="29" t="s">
        <v>287</v>
      </c>
      <c r="J81" s="30" t="s">
        <v>288</v>
      </c>
      <c r="K81" s="31" t="n">
        <v>46329</v>
      </c>
      <c r="L81" s="31" t="n">
        <v>46329</v>
      </c>
      <c r="M81" s="31"/>
      <c r="N81" s="31"/>
      <c r="O81" s="32" t="n">
        <f aca="false">IF(OR(K81="",L81=""),0,L81-K81+1-COUNTIFS(휴일!$A$2:$A$20,"&gt;="&amp;K81,휴일!$A$2:$A$20,"&lt;="&amp;L81))</f>
        <v>1</v>
      </c>
      <c r="P81" s="32" t="n">
        <f aca="false">IF(OR(M81="",N81=""),0,N81-M81+1-COUNTIFS(휴일!$A$2:$A$20,"&gt;="&amp;M81,휴일!$A$2:$A$20,"&lt;="&amp;N81))</f>
        <v>0</v>
      </c>
      <c r="Q81" s="33" t="n">
        <f aca="false">IF(O81=0,0,MAX(0,MIN(O81,$L$1-K81+1-COUNTIFS(휴일!$A$2:$A$20,"&gt;="&amp;K81,휴일!$A$2:$A$20,"&lt;="&amp;$L$1))))</f>
        <v>0</v>
      </c>
      <c r="R81" s="33" t="n">
        <f aca="false">IF(P81=0,0,MIN(P81,O81))</f>
        <v>0</v>
      </c>
      <c r="S81" s="34" t="n">
        <f aca="false">IFERROR(Q81/O81,0)</f>
        <v>0</v>
      </c>
      <c r="T81" s="34" t="n">
        <f aca="false">IFERROR(R81/O81,0)</f>
        <v>0</v>
      </c>
      <c r="U81" s="35" t="n">
        <f aca="false">IF(OR(O81=0,R81=0),0,MIN(1,R81/O81))</f>
        <v>0</v>
      </c>
      <c r="V81" s="36" t="n">
        <f aca="false">U81-S81</f>
        <v>0</v>
      </c>
      <c r="W81" s="37" t="str">
        <f aca="false">IF(AND(W$5&gt;=$K81,W$5&lt;=$L81,COUNTIF(휴일!$A$2:$A$20,W$5)=0),IF($G81="선택","□","■"),"")</f>
        <v/>
      </c>
      <c r="X81" s="37" t="str">
        <f aca="false">IF(AND(X$5&gt;=$K81,X$5&lt;=$L81,COUNTIF(휴일!$A$2:$A$20,X$5)=0),IF($G81="선택","□","■"),"")</f>
        <v/>
      </c>
      <c r="Y81" s="37" t="str">
        <f aca="false">IF(AND(Y$5&gt;=$K81,Y$5&lt;=$L81,COUNTIF(휴일!$A$2:$A$20,Y$5)=0),IF($G81="선택","□","■"),"")</f>
        <v/>
      </c>
      <c r="Z81" s="37" t="str">
        <f aca="false">IF(AND(Z$5&gt;=$K81,Z$5&lt;=$L81,COUNTIF(휴일!$A$2:$A$20,Z$5)=0),IF($G81="선택","□","■"),"")</f>
        <v/>
      </c>
      <c r="AA81" s="37" t="str">
        <f aca="false">IF(AND(AA$5&gt;=$K81,AA$5&lt;=$L81,COUNTIF(휴일!$A$2:$A$20,AA$5)=0),IF($G81="선택","□","■"),"")</f>
        <v/>
      </c>
      <c r="AB81" s="37" t="str">
        <f aca="false">IF(AND(AB$5&gt;=$K81,AB$5&lt;=$L81,COUNTIF(휴일!$A$2:$A$20,AB$5)=0),IF($G81="선택","□","■"),"")</f>
        <v/>
      </c>
      <c r="AC81" s="37" t="str">
        <f aca="false">IF(AND(AC$5&gt;=$K81,AC$5&lt;=$L81,COUNTIF(휴일!$A$2:$A$20,AC$5)=0),IF($G81="선택","□","■"),"")</f>
        <v/>
      </c>
      <c r="AD81" s="37" t="str">
        <f aca="false">IF(AND(AD$5&gt;=$K81,AD$5&lt;=$L81,COUNTIF(휴일!$A$2:$A$20,AD$5)=0),IF($G81="선택","□","■"),"")</f>
        <v>■</v>
      </c>
      <c r="AE81" s="37" t="str">
        <f aca="false">IF(AND(AE$5&gt;=$K81,AE$5&lt;=$L81,COUNTIF(휴일!$A$2:$A$20,AE$5)=0),IF($G81="선택","□","■"),"")</f>
        <v/>
      </c>
      <c r="AF81" s="37" t="str">
        <f aca="false">IF(AND(AF$5&gt;=$K81,AF$5&lt;=$L81,COUNTIF(휴일!$A$2:$A$20,AF$5)=0),IF($G81="선택","□","■"),"")</f>
        <v/>
      </c>
    </row>
    <row r="82" customFormat="false" ht="30" hidden="false" customHeight="true" outlineLevel="0" collapsed="false">
      <c r="B82" s="23"/>
      <c r="C82" s="24"/>
      <c r="D82" s="25"/>
      <c r="E82" s="26" t="s">
        <v>285</v>
      </c>
      <c r="F82" s="27" t="s">
        <v>289</v>
      </c>
      <c r="G82" s="28" t="s">
        <v>30</v>
      </c>
      <c r="H82" s="28" t="s">
        <v>31</v>
      </c>
      <c r="I82" s="29" t="s">
        <v>290</v>
      </c>
      <c r="J82" s="30" t="s">
        <v>291</v>
      </c>
      <c r="K82" s="31" t="n">
        <v>46329</v>
      </c>
      <c r="L82" s="31" t="n">
        <v>46329</v>
      </c>
      <c r="M82" s="31"/>
      <c r="N82" s="31"/>
      <c r="O82" s="32" t="n">
        <f aca="false">IF(OR(K82="",L82=""),0,L82-K82+1-COUNTIFS(휴일!$A$2:$A$20,"&gt;="&amp;K82,휴일!$A$2:$A$20,"&lt;="&amp;L82))</f>
        <v>1</v>
      </c>
      <c r="P82" s="32" t="n">
        <f aca="false">IF(OR(M82="",N82=""),0,N82-M82+1-COUNTIFS(휴일!$A$2:$A$20,"&gt;="&amp;M82,휴일!$A$2:$A$20,"&lt;="&amp;N82))</f>
        <v>0</v>
      </c>
      <c r="Q82" s="33" t="n">
        <f aca="false">IF(O82=0,0,MAX(0,MIN(O82,$L$1-K82+1-COUNTIFS(휴일!$A$2:$A$20,"&gt;="&amp;K82,휴일!$A$2:$A$20,"&lt;="&amp;$L$1))))</f>
        <v>0</v>
      </c>
      <c r="R82" s="33" t="n">
        <f aca="false">IF(P82=0,0,MIN(P82,O82))</f>
        <v>0</v>
      </c>
      <c r="S82" s="34" t="n">
        <f aca="false">IFERROR(Q82/O82,0)</f>
        <v>0</v>
      </c>
      <c r="T82" s="34" t="n">
        <f aca="false">IFERROR(R82/O82,0)</f>
        <v>0</v>
      </c>
      <c r="U82" s="35" t="n">
        <f aca="false">IF(OR(O82=0,R82=0),0,MIN(1,R82/O82))</f>
        <v>0</v>
      </c>
      <c r="V82" s="36" t="n">
        <f aca="false">U82-S82</f>
        <v>0</v>
      </c>
      <c r="W82" s="37" t="str">
        <f aca="false">IF(AND(W$5&gt;=$K82,W$5&lt;=$L82,COUNTIF(휴일!$A$2:$A$20,W$5)=0),IF($G82="선택","□","■"),"")</f>
        <v/>
      </c>
      <c r="X82" s="37" t="str">
        <f aca="false">IF(AND(X$5&gt;=$K82,X$5&lt;=$L82,COUNTIF(휴일!$A$2:$A$20,X$5)=0),IF($G82="선택","□","■"),"")</f>
        <v/>
      </c>
      <c r="Y82" s="37" t="str">
        <f aca="false">IF(AND(Y$5&gt;=$K82,Y$5&lt;=$L82,COUNTIF(휴일!$A$2:$A$20,Y$5)=0),IF($G82="선택","□","■"),"")</f>
        <v/>
      </c>
      <c r="Z82" s="37" t="str">
        <f aca="false">IF(AND(Z$5&gt;=$K82,Z$5&lt;=$L82,COUNTIF(휴일!$A$2:$A$20,Z$5)=0),IF($G82="선택","□","■"),"")</f>
        <v/>
      </c>
      <c r="AA82" s="37" t="str">
        <f aca="false">IF(AND(AA$5&gt;=$K82,AA$5&lt;=$L82,COUNTIF(휴일!$A$2:$A$20,AA$5)=0),IF($G82="선택","□","■"),"")</f>
        <v/>
      </c>
      <c r="AB82" s="37" t="str">
        <f aca="false">IF(AND(AB$5&gt;=$K82,AB$5&lt;=$L82,COUNTIF(휴일!$A$2:$A$20,AB$5)=0),IF($G82="선택","□","■"),"")</f>
        <v/>
      </c>
      <c r="AC82" s="37" t="str">
        <f aca="false">IF(AND(AC$5&gt;=$K82,AC$5&lt;=$L82,COUNTIF(휴일!$A$2:$A$20,AC$5)=0),IF($G82="선택","□","■"),"")</f>
        <v/>
      </c>
      <c r="AD82" s="37" t="str">
        <f aca="false">IF(AND(AD$5&gt;=$K82,AD$5&lt;=$L82,COUNTIF(휴일!$A$2:$A$20,AD$5)=0),IF($G82="선택","□","■"),"")</f>
        <v>■</v>
      </c>
      <c r="AE82" s="37" t="str">
        <f aca="false">IF(AND(AE$5&gt;=$K82,AE$5&lt;=$L82,COUNTIF(휴일!$A$2:$A$20,AE$5)=0),IF($G82="선택","□","■"),"")</f>
        <v/>
      </c>
      <c r="AF82" s="37" t="str">
        <f aca="false">IF(AND(AF$5&gt;=$K82,AF$5&lt;=$L82,COUNTIF(휴일!$A$2:$A$20,AF$5)=0),IF($G82="선택","□","■"),"")</f>
        <v/>
      </c>
    </row>
    <row r="83" customFormat="false" ht="7.5" hidden="false" customHeight="true" outlineLevel="0" collapsed="false">
      <c r="B83" s="23"/>
      <c r="C83" s="24"/>
      <c r="D83" s="25"/>
      <c r="E83" s="26"/>
      <c r="F83" s="38"/>
      <c r="G83" s="28"/>
      <c r="H83" s="28"/>
      <c r="I83" s="28"/>
      <c r="J83" s="28"/>
      <c r="K83" s="31"/>
      <c r="L83" s="31"/>
      <c r="M83" s="31"/>
      <c r="N83" s="31"/>
      <c r="O83" s="32"/>
      <c r="P83" s="32"/>
      <c r="Q83" s="32"/>
      <c r="R83" s="32"/>
      <c r="S83" s="34"/>
      <c r="T83" s="34"/>
      <c r="U83" s="34"/>
      <c r="V83" s="34"/>
      <c r="W83" s="39"/>
      <c r="X83" s="39"/>
      <c r="Y83" s="39"/>
      <c r="Z83" s="39"/>
      <c r="AA83" s="39"/>
      <c r="AB83" s="39"/>
      <c r="AC83" s="39"/>
      <c r="AD83" s="39"/>
      <c r="AE83" s="39"/>
      <c r="AF83" s="39"/>
    </row>
    <row r="84" customFormat="false" ht="30" hidden="false" customHeight="true" outlineLevel="0" collapsed="false">
      <c r="B84" s="23" t="n">
        <v>5</v>
      </c>
      <c r="C84" s="24" t="n">
        <v>0.1</v>
      </c>
      <c r="D84" s="25" t="s">
        <v>292</v>
      </c>
      <c r="E84" s="26" t="s">
        <v>285</v>
      </c>
      <c r="F84" s="27" t="s">
        <v>293</v>
      </c>
      <c r="G84" s="28" t="s">
        <v>30</v>
      </c>
      <c r="H84" s="28" t="s">
        <v>31</v>
      </c>
      <c r="I84" s="29" t="s">
        <v>294</v>
      </c>
      <c r="J84" s="30" t="s">
        <v>295</v>
      </c>
      <c r="K84" s="31" t="n">
        <v>46330</v>
      </c>
      <c r="L84" s="31" t="n">
        <v>46330</v>
      </c>
      <c r="M84" s="31"/>
      <c r="N84" s="31"/>
      <c r="O84" s="32" t="n">
        <f aca="false">IF(OR(K84="",L84=""),0,L84-K84+1-COUNTIFS(휴일!$A$2:$A$20,"&gt;="&amp;K84,휴일!$A$2:$A$20,"&lt;="&amp;L84))</f>
        <v>1</v>
      </c>
      <c r="P84" s="32" t="n">
        <f aca="false">IF(OR(M84="",N84=""),0,N84-M84+1-COUNTIFS(휴일!$A$2:$A$20,"&gt;="&amp;M84,휴일!$A$2:$A$20,"&lt;="&amp;N84))</f>
        <v>0</v>
      </c>
      <c r="Q84" s="33" t="n">
        <f aca="false">IF(O84=0,0,MAX(0,MIN(O84,$L$1-K84+1-COUNTIFS(휴일!$A$2:$A$20,"&gt;="&amp;K84,휴일!$A$2:$A$20,"&lt;="&amp;$L$1))))</f>
        <v>0</v>
      </c>
      <c r="R84" s="33" t="n">
        <f aca="false">IF(P84=0,0,MIN(P84,O84))</f>
        <v>0</v>
      </c>
      <c r="S84" s="34" t="n">
        <f aca="false">IFERROR(Q84/O84,0)</f>
        <v>0</v>
      </c>
      <c r="T84" s="34" t="n">
        <f aca="false">IFERROR(R84/O84,0)</f>
        <v>0</v>
      </c>
      <c r="U84" s="35" t="n">
        <f aca="false">IF(OR(O84=0,R84=0),0,MIN(1,R84/O84))</f>
        <v>0</v>
      </c>
      <c r="V84" s="36" t="n">
        <f aca="false">U84-S84</f>
        <v>0</v>
      </c>
      <c r="W84" s="37" t="str">
        <f aca="false">IF(AND(W$5&gt;=$K84,W$5&lt;=$L84,COUNTIF(휴일!$A$2:$A$20,W$5)=0),IF($G84="선택","□","■"),"")</f>
        <v/>
      </c>
      <c r="X84" s="37" t="str">
        <f aca="false">IF(AND(X$5&gt;=$K84,X$5&lt;=$L84,COUNTIF(휴일!$A$2:$A$20,X$5)=0),IF($G84="선택","□","■"),"")</f>
        <v/>
      </c>
      <c r="Y84" s="37" t="str">
        <f aca="false">IF(AND(Y$5&gt;=$K84,Y$5&lt;=$L84,COUNTIF(휴일!$A$2:$A$20,Y$5)=0),IF($G84="선택","□","■"),"")</f>
        <v/>
      </c>
      <c r="Z84" s="37" t="str">
        <f aca="false">IF(AND(Z$5&gt;=$K84,Z$5&lt;=$L84,COUNTIF(휴일!$A$2:$A$20,Z$5)=0),IF($G84="선택","□","■"),"")</f>
        <v/>
      </c>
      <c r="AA84" s="37" t="str">
        <f aca="false">IF(AND(AA$5&gt;=$K84,AA$5&lt;=$L84,COUNTIF(휴일!$A$2:$A$20,AA$5)=0),IF($G84="선택","□","■"),"")</f>
        <v/>
      </c>
      <c r="AB84" s="37" t="str">
        <f aca="false">IF(AND(AB$5&gt;=$K84,AB$5&lt;=$L84,COUNTIF(휴일!$A$2:$A$20,AB$5)=0),IF($G84="선택","□","■"),"")</f>
        <v/>
      </c>
      <c r="AC84" s="37" t="str">
        <f aca="false">IF(AND(AC$5&gt;=$K84,AC$5&lt;=$L84,COUNTIF(휴일!$A$2:$A$20,AC$5)=0),IF($G84="선택","□","■"),"")</f>
        <v/>
      </c>
      <c r="AD84" s="37" t="str">
        <f aca="false">IF(AND(AD$5&gt;=$K84,AD$5&lt;=$L84,COUNTIF(휴일!$A$2:$A$20,AD$5)=0),IF($G84="선택","□","■"),"")</f>
        <v/>
      </c>
      <c r="AE84" s="37" t="str">
        <f aca="false">IF(AND(AE$5&gt;=$K84,AE$5&lt;=$L84,COUNTIF(휴일!$A$2:$A$20,AE$5)=0),IF($G84="선택","□","■"),"")</f>
        <v>■</v>
      </c>
      <c r="AF84" s="37" t="str">
        <f aca="false">IF(AND(AF$5&gt;=$K84,AF$5&lt;=$L84,COUNTIF(휴일!$A$2:$A$20,AF$5)=0),IF($G84="선택","□","■"),"")</f>
        <v/>
      </c>
    </row>
    <row r="85" customFormat="false" ht="30" hidden="false" customHeight="true" outlineLevel="0" collapsed="false">
      <c r="B85" s="23"/>
      <c r="C85" s="24"/>
      <c r="D85" s="25"/>
      <c r="E85" s="26" t="s">
        <v>133</v>
      </c>
      <c r="F85" s="27" t="s">
        <v>296</v>
      </c>
      <c r="G85" s="28" t="s">
        <v>30</v>
      </c>
      <c r="H85" s="28" t="s">
        <v>31</v>
      </c>
      <c r="I85" s="29" t="s">
        <v>297</v>
      </c>
      <c r="J85" s="30" t="s">
        <v>298</v>
      </c>
      <c r="K85" s="31" t="n">
        <v>46330</v>
      </c>
      <c r="L85" s="31" t="n">
        <v>46330</v>
      </c>
      <c r="M85" s="31"/>
      <c r="N85" s="31"/>
      <c r="O85" s="32" t="n">
        <f aca="false">IF(OR(K85="",L85=""),0,L85-K85+1-COUNTIFS(휴일!$A$2:$A$20,"&gt;="&amp;K85,휴일!$A$2:$A$20,"&lt;="&amp;L85))</f>
        <v>1</v>
      </c>
      <c r="P85" s="32" t="n">
        <f aca="false">IF(OR(M85="",N85=""),0,N85-M85+1-COUNTIFS(휴일!$A$2:$A$20,"&gt;="&amp;M85,휴일!$A$2:$A$20,"&lt;="&amp;N85))</f>
        <v>0</v>
      </c>
      <c r="Q85" s="33" t="n">
        <f aca="false">IF(O85=0,0,MAX(0,MIN(O85,$L$1-K85+1-COUNTIFS(휴일!$A$2:$A$20,"&gt;="&amp;K85,휴일!$A$2:$A$20,"&lt;="&amp;$L$1))))</f>
        <v>0</v>
      </c>
      <c r="R85" s="33" t="n">
        <f aca="false">IF(P85=0,0,MIN(P85,O85))</f>
        <v>0</v>
      </c>
      <c r="S85" s="34" t="n">
        <f aca="false">IFERROR(Q85/O85,0)</f>
        <v>0</v>
      </c>
      <c r="T85" s="34" t="n">
        <f aca="false">IFERROR(R85/O85,0)</f>
        <v>0</v>
      </c>
      <c r="U85" s="35" t="n">
        <f aca="false">IF(OR(O85=0,R85=0),0,MIN(1,R85/O85))</f>
        <v>0</v>
      </c>
      <c r="V85" s="36" t="n">
        <f aca="false">U85-S85</f>
        <v>0</v>
      </c>
      <c r="W85" s="37" t="str">
        <f aca="false">IF(AND(W$5&gt;=$K85,W$5&lt;=$L85,COUNTIF(휴일!$A$2:$A$20,W$5)=0),IF($G85="선택","□","■"),"")</f>
        <v/>
      </c>
      <c r="X85" s="37" t="str">
        <f aca="false">IF(AND(X$5&gt;=$K85,X$5&lt;=$L85,COUNTIF(휴일!$A$2:$A$20,X$5)=0),IF($G85="선택","□","■"),"")</f>
        <v/>
      </c>
      <c r="Y85" s="37" t="str">
        <f aca="false">IF(AND(Y$5&gt;=$K85,Y$5&lt;=$L85,COUNTIF(휴일!$A$2:$A$20,Y$5)=0),IF($G85="선택","□","■"),"")</f>
        <v/>
      </c>
      <c r="Z85" s="37" t="str">
        <f aca="false">IF(AND(Z$5&gt;=$K85,Z$5&lt;=$L85,COUNTIF(휴일!$A$2:$A$20,Z$5)=0),IF($G85="선택","□","■"),"")</f>
        <v/>
      </c>
      <c r="AA85" s="37" t="str">
        <f aca="false">IF(AND(AA$5&gt;=$K85,AA$5&lt;=$L85,COUNTIF(휴일!$A$2:$A$20,AA$5)=0),IF($G85="선택","□","■"),"")</f>
        <v/>
      </c>
      <c r="AB85" s="37" t="str">
        <f aca="false">IF(AND(AB$5&gt;=$K85,AB$5&lt;=$L85,COUNTIF(휴일!$A$2:$A$20,AB$5)=0),IF($G85="선택","□","■"),"")</f>
        <v/>
      </c>
      <c r="AC85" s="37" t="str">
        <f aca="false">IF(AND(AC$5&gt;=$K85,AC$5&lt;=$L85,COUNTIF(휴일!$A$2:$A$20,AC$5)=0),IF($G85="선택","□","■"),"")</f>
        <v/>
      </c>
      <c r="AD85" s="37" t="str">
        <f aca="false">IF(AND(AD$5&gt;=$K85,AD$5&lt;=$L85,COUNTIF(휴일!$A$2:$A$20,AD$5)=0),IF($G85="선택","□","■"),"")</f>
        <v/>
      </c>
      <c r="AE85" s="37" t="str">
        <f aca="false">IF(AND(AE$5&gt;=$K85,AE$5&lt;=$L85,COUNTIF(휴일!$A$2:$A$20,AE$5)=0),IF($G85="선택","□","■"),"")</f>
        <v>■</v>
      </c>
      <c r="AF85" s="37" t="str">
        <f aca="false">IF(AND(AF$5&gt;=$K85,AF$5&lt;=$L85,COUNTIF(휴일!$A$2:$A$20,AF$5)=0),IF($G85="선택","□","■"),"")</f>
        <v/>
      </c>
    </row>
    <row r="86" customFormat="false" ht="30" hidden="false" customHeight="true" outlineLevel="0" collapsed="false">
      <c r="B86" s="23"/>
      <c r="C86" s="24"/>
      <c r="D86" s="25"/>
      <c r="E86" s="26" t="s">
        <v>285</v>
      </c>
      <c r="F86" s="27" t="s">
        <v>299</v>
      </c>
      <c r="G86" s="28" t="s">
        <v>30</v>
      </c>
      <c r="H86" s="28" t="s">
        <v>31</v>
      </c>
      <c r="I86" s="29" t="s">
        <v>300</v>
      </c>
      <c r="J86" s="30" t="s">
        <v>301</v>
      </c>
      <c r="K86" s="31" t="n">
        <v>46330</v>
      </c>
      <c r="L86" s="31" t="n">
        <v>46330</v>
      </c>
      <c r="M86" s="31"/>
      <c r="N86" s="31"/>
      <c r="O86" s="32" t="n">
        <f aca="false">IF(OR(K86="",L86=""),0,L86-K86+1-COUNTIFS(휴일!$A$2:$A$20,"&gt;="&amp;K86,휴일!$A$2:$A$20,"&lt;="&amp;L86))</f>
        <v>1</v>
      </c>
      <c r="P86" s="32" t="n">
        <f aca="false">IF(OR(M86="",N86=""),0,N86-M86+1-COUNTIFS(휴일!$A$2:$A$20,"&gt;="&amp;M86,휴일!$A$2:$A$20,"&lt;="&amp;N86))</f>
        <v>0</v>
      </c>
      <c r="Q86" s="33" t="n">
        <f aca="false">IF(O86=0,0,MAX(0,MIN(O86,$L$1-K86+1-COUNTIFS(휴일!$A$2:$A$20,"&gt;="&amp;K86,휴일!$A$2:$A$20,"&lt;="&amp;$L$1))))</f>
        <v>0</v>
      </c>
      <c r="R86" s="33" t="n">
        <f aca="false">IF(P86=0,0,MIN(P86,O86))</f>
        <v>0</v>
      </c>
      <c r="S86" s="34" t="n">
        <f aca="false">IFERROR(Q86/O86,0)</f>
        <v>0</v>
      </c>
      <c r="T86" s="34" t="n">
        <f aca="false">IFERROR(R86/O86,0)</f>
        <v>0</v>
      </c>
      <c r="U86" s="35" t="n">
        <f aca="false">IF(OR(O86=0,R86=0),0,MIN(1,R86/O86))</f>
        <v>0</v>
      </c>
      <c r="V86" s="36" t="n">
        <f aca="false">U86-S86</f>
        <v>0</v>
      </c>
      <c r="W86" s="37" t="str">
        <f aca="false">IF(AND(W$5&gt;=$K86,W$5&lt;=$L86,COUNTIF(휴일!$A$2:$A$20,W$5)=0),IF($G86="선택","□","■"),"")</f>
        <v/>
      </c>
      <c r="X86" s="37" t="str">
        <f aca="false">IF(AND(X$5&gt;=$K86,X$5&lt;=$L86,COUNTIF(휴일!$A$2:$A$20,X$5)=0),IF($G86="선택","□","■"),"")</f>
        <v/>
      </c>
      <c r="Y86" s="37" t="str">
        <f aca="false">IF(AND(Y$5&gt;=$K86,Y$5&lt;=$L86,COUNTIF(휴일!$A$2:$A$20,Y$5)=0),IF($G86="선택","□","■"),"")</f>
        <v/>
      </c>
      <c r="Z86" s="37" t="str">
        <f aca="false">IF(AND(Z$5&gt;=$K86,Z$5&lt;=$L86,COUNTIF(휴일!$A$2:$A$20,Z$5)=0),IF($G86="선택","□","■"),"")</f>
        <v/>
      </c>
      <c r="AA86" s="37" t="str">
        <f aca="false">IF(AND(AA$5&gt;=$K86,AA$5&lt;=$L86,COUNTIF(휴일!$A$2:$A$20,AA$5)=0),IF($G86="선택","□","■"),"")</f>
        <v/>
      </c>
      <c r="AB86" s="37" t="str">
        <f aca="false">IF(AND(AB$5&gt;=$K86,AB$5&lt;=$L86,COUNTIF(휴일!$A$2:$A$20,AB$5)=0),IF($G86="선택","□","■"),"")</f>
        <v/>
      </c>
      <c r="AC86" s="37" t="str">
        <f aca="false">IF(AND(AC$5&gt;=$K86,AC$5&lt;=$L86,COUNTIF(휴일!$A$2:$A$20,AC$5)=0),IF($G86="선택","□","■"),"")</f>
        <v/>
      </c>
      <c r="AD86" s="37" t="str">
        <f aca="false">IF(AND(AD$5&gt;=$K86,AD$5&lt;=$L86,COUNTIF(휴일!$A$2:$A$20,AD$5)=0),IF($G86="선택","□","■"),"")</f>
        <v/>
      </c>
      <c r="AE86" s="37" t="str">
        <f aca="false">IF(AND(AE$5&gt;=$K86,AE$5&lt;=$L86,COUNTIF(휴일!$A$2:$A$20,AE$5)=0),IF($G86="선택","□","■"),"")</f>
        <v>■</v>
      </c>
      <c r="AF86" s="37" t="str">
        <f aca="false">IF(AND(AF$5&gt;=$K86,AF$5&lt;=$L86,COUNTIF(휴일!$A$2:$A$20,AF$5)=0),IF($G86="선택","□","■"),"")</f>
        <v/>
      </c>
    </row>
    <row r="87" customFormat="false" ht="30" hidden="false" customHeight="true" outlineLevel="0" collapsed="false">
      <c r="B87" s="23"/>
      <c r="C87" s="24"/>
      <c r="D87" s="25"/>
      <c r="E87" s="26" t="s">
        <v>285</v>
      </c>
      <c r="F87" s="27" t="s">
        <v>302</v>
      </c>
      <c r="G87" s="28" t="s">
        <v>30</v>
      </c>
      <c r="H87" s="28" t="s">
        <v>31</v>
      </c>
      <c r="I87" s="29" t="s">
        <v>300</v>
      </c>
      <c r="J87" s="30" t="s">
        <v>303</v>
      </c>
      <c r="K87" s="31" t="n">
        <v>46330</v>
      </c>
      <c r="L87" s="31" t="n">
        <v>46330</v>
      </c>
      <c r="M87" s="31"/>
      <c r="N87" s="31"/>
      <c r="O87" s="32" t="n">
        <f aca="false">IF(OR(K87="",L87=""),0,L87-K87+1-COUNTIFS(휴일!$A$2:$A$20,"&gt;="&amp;K87,휴일!$A$2:$A$20,"&lt;="&amp;L87))</f>
        <v>1</v>
      </c>
      <c r="P87" s="32" t="n">
        <f aca="false">IF(OR(M87="",N87=""),0,N87-M87+1-COUNTIFS(휴일!$A$2:$A$20,"&gt;="&amp;M87,휴일!$A$2:$A$20,"&lt;="&amp;N87))</f>
        <v>0</v>
      </c>
      <c r="Q87" s="33" t="n">
        <f aca="false">IF(O87=0,0,MAX(0,MIN(O87,$L$1-K87+1-COUNTIFS(휴일!$A$2:$A$20,"&gt;="&amp;K87,휴일!$A$2:$A$20,"&lt;="&amp;$L$1))))</f>
        <v>0</v>
      </c>
      <c r="R87" s="33" t="n">
        <f aca="false">IF(P87=0,0,MIN(P87,O87))</f>
        <v>0</v>
      </c>
      <c r="S87" s="34" t="n">
        <f aca="false">IFERROR(Q87/O87,0)</f>
        <v>0</v>
      </c>
      <c r="T87" s="34" t="n">
        <f aca="false">IFERROR(R87/O87,0)</f>
        <v>0</v>
      </c>
      <c r="U87" s="35" t="n">
        <f aca="false">IF(OR(O87=0,R87=0),0,MIN(1,R87/O87))</f>
        <v>0</v>
      </c>
      <c r="V87" s="36" t="n">
        <f aca="false">U87-S87</f>
        <v>0</v>
      </c>
      <c r="W87" s="37" t="str">
        <f aca="false">IF(AND(W$5&gt;=$K87,W$5&lt;=$L87,COUNTIF(휴일!$A$2:$A$20,W$5)=0),IF($G87="선택","□","■"),"")</f>
        <v/>
      </c>
      <c r="X87" s="37" t="str">
        <f aca="false">IF(AND(X$5&gt;=$K87,X$5&lt;=$L87,COUNTIF(휴일!$A$2:$A$20,X$5)=0),IF($G87="선택","□","■"),"")</f>
        <v/>
      </c>
      <c r="Y87" s="37" t="str">
        <f aca="false">IF(AND(Y$5&gt;=$K87,Y$5&lt;=$L87,COUNTIF(휴일!$A$2:$A$20,Y$5)=0),IF($G87="선택","□","■"),"")</f>
        <v/>
      </c>
      <c r="Z87" s="37" t="str">
        <f aca="false">IF(AND(Z$5&gt;=$K87,Z$5&lt;=$L87,COUNTIF(휴일!$A$2:$A$20,Z$5)=0),IF($G87="선택","□","■"),"")</f>
        <v/>
      </c>
      <c r="AA87" s="37" t="str">
        <f aca="false">IF(AND(AA$5&gt;=$K87,AA$5&lt;=$L87,COUNTIF(휴일!$A$2:$A$20,AA$5)=0),IF($G87="선택","□","■"),"")</f>
        <v/>
      </c>
      <c r="AB87" s="37" t="str">
        <f aca="false">IF(AND(AB$5&gt;=$K87,AB$5&lt;=$L87,COUNTIF(휴일!$A$2:$A$20,AB$5)=0),IF($G87="선택","□","■"),"")</f>
        <v/>
      </c>
      <c r="AC87" s="37" t="str">
        <f aca="false">IF(AND(AC$5&gt;=$K87,AC$5&lt;=$L87,COUNTIF(휴일!$A$2:$A$20,AC$5)=0),IF($G87="선택","□","■"),"")</f>
        <v/>
      </c>
      <c r="AD87" s="37" t="str">
        <f aca="false">IF(AND(AD$5&gt;=$K87,AD$5&lt;=$L87,COUNTIF(휴일!$A$2:$A$20,AD$5)=0),IF($G87="선택","□","■"),"")</f>
        <v/>
      </c>
      <c r="AE87" s="37" t="str">
        <f aca="false">IF(AND(AE$5&gt;=$K87,AE$5&lt;=$L87,COUNTIF(휴일!$A$2:$A$20,AE$5)=0),IF($G87="선택","□","■"),"")</f>
        <v>■</v>
      </c>
      <c r="AF87" s="37" t="str">
        <f aca="false">IF(AND(AF$5&gt;=$K87,AF$5&lt;=$L87,COUNTIF(휴일!$A$2:$A$20,AF$5)=0),IF($G87="선택","□","■"),"")</f>
        <v/>
      </c>
    </row>
    <row r="88" customFormat="false" ht="30" hidden="false" customHeight="true" outlineLevel="0" collapsed="false">
      <c r="B88" s="23"/>
      <c r="C88" s="24"/>
      <c r="D88" s="25"/>
      <c r="E88" s="26" t="s">
        <v>304</v>
      </c>
      <c r="F88" s="27" t="s">
        <v>305</v>
      </c>
      <c r="G88" s="28" t="s">
        <v>30</v>
      </c>
      <c r="H88" s="28" t="s">
        <v>31</v>
      </c>
      <c r="I88" s="29" t="s">
        <v>306</v>
      </c>
      <c r="J88" s="30" t="s">
        <v>307</v>
      </c>
      <c r="K88" s="31" t="n">
        <v>46330</v>
      </c>
      <c r="L88" s="31" t="n">
        <v>46330</v>
      </c>
      <c r="M88" s="31"/>
      <c r="N88" s="31"/>
      <c r="O88" s="32" t="n">
        <f aca="false">IF(OR(K88="",L88=""),0,L88-K88+1-COUNTIFS(휴일!$A$2:$A$20,"&gt;="&amp;K88,휴일!$A$2:$A$20,"&lt;="&amp;L88))</f>
        <v>1</v>
      </c>
      <c r="P88" s="32" t="n">
        <f aca="false">IF(OR(M88="",N88=""),0,N88-M88+1-COUNTIFS(휴일!$A$2:$A$20,"&gt;="&amp;M88,휴일!$A$2:$A$20,"&lt;="&amp;N88))</f>
        <v>0</v>
      </c>
      <c r="Q88" s="33" t="n">
        <f aca="false">IF(O88=0,0,MAX(0,MIN(O88,$L$1-K88+1-COUNTIFS(휴일!$A$2:$A$20,"&gt;="&amp;K88,휴일!$A$2:$A$20,"&lt;="&amp;$L$1))))</f>
        <v>0</v>
      </c>
      <c r="R88" s="33" t="n">
        <f aca="false">IF(P88=0,0,MIN(P88,O88))</f>
        <v>0</v>
      </c>
      <c r="S88" s="34" t="n">
        <f aca="false">IFERROR(Q88/O88,0)</f>
        <v>0</v>
      </c>
      <c r="T88" s="34" t="n">
        <f aca="false">IFERROR(R88/O88,0)</f>
        <v>0</v>
      </c>
      <c r="U88" s="35" t="n">
        <f aca="false">IF(OR(O88=0,R88=0),0,MIN(1,R88/O88))</f>
        <v>0</v>
      </c>
      <c r="V88" s="36" t="n">
        <f aca="false">U88-S88</f>
        <v>0</v>
      </c>
      <c r="W88" s="37" t="str">
        <f aca="false">IF(AND(W$5&gt;=$K88,W$5&lt;=$L88,COUNTIF(휴일!$A$2:$A$20,W$5)=0),IF($G88="선택","□","■"),"")</f>
        <v/>
      </c>
      <c r="X88" s="37" t="str">
        <f aca="false">IF(AND(X$5&gt;=$K88,X$5&lt;=$L88,COUNTIF(휴일!$A$2:$A$20,X$5)=0),IF($G88="선택","□","■"),"")</f>
        <v/>
      </c>
      <c r="Y88" s="37" t="str">
        <f aca="false">IF(AND(Y$5&gt;=$K88,Y$5&lt;=$L88,COUNTIF(휴일!$A$2:$A$20,Y$5)=0),IF($G88="선택","□","■"),"")</f>
        <v/>
      </c>
      <c r="Z88" s="37" t="str">
        <f aca="false">IF(AND(Z$5&gt;=$K88,Z$5&lt;=$L88,COUNTIF(휴일!$A$2:$A$20,Z$5)=0),IF($G88="선택","□","■"),"")</f>
        <v/>
      </c>
      <c r="AA88" s="37" t="str">
        <f aca="false">IF(AND(AA$5&gt;=$K88,AA$5&lt;=$L88,COUNTIF(휴일!$A$2:$A$20,AA$5)=0),IF($G88="선택","□","■"),"")</f>
        <v/>
      </c>
      <c r="AB88" s="37" t="str">
        <f aca="false">IF(AND(AB$5&gt;=$K88,AB$5&lt;=$L88,COUNTIF(휴일!$A$2:$A$20,AB$5)=0),IF($G88="선택","□","■"),"")</f>
        <v/>
      </c>
      <c r="AC88" s="37" t="str">
        <f aca="false">IF(AND(AC$5&gt;=$K88,AC$5&lt;=$L88,COUNTIF(휴일!$A$2:$A$20,AC$5)=0),IF($G88="선택","□","■"),"")</f>
        <v/>
      </c>
      <c r="AD88" s="37" t="str">
        <f aca="false">IF(AND(AD$5&gt;=$K88,AD$5&lt;=$L88,COUNTIF(휴일!$A$2:$A$20,AD$5)=0),IF($G88="선택","□","■"),"")</f>
        <v/>
      </c>
      <c r="AE88" s="37" t="str">
        <f aca="false">IF(AND(AE$5&gt;=$K88,AE$5&lt;=$L88,COUNTIF(휴일!$A$2:$A$20,AE$5)=0),IF($G88="선택","□","■"),"")</f>
        <v>■</v>
      </c>
      <c r="AF88" s="37" t="str">
        <f aca="false">IF(AND(AF$5&gt;=$K88,AF$5&lt;=$L88,COUNTIF(휴일!$A$2:$A$20,AF$5)=0),IF($G88="선택","□","■"),"")</f>
        <v/>
      </c>
    </row>
    <row r="89" customFormat="false" ht="30" hidden="false" customHeight="true" outlineLevel="0" collapsed="false">
      <c r="B89" s="23"/>
      <c r="C89" s="24"/>
      <c r="D89" s="25"/>
      <c r="E89" s="26" t="s">
        <v>308</v>
      </c>
      <c r="F89" s="27" t="s">
        <v>309</v>
      </c>
      <c r="G89" s="28" t="s">
        <v>30</v>
      </c>
      <c r="H89" s="28" t="s">
        <v>31</v>
      </c>
      <c r="I89" s="29" t="s">
        <v>310</v>
      </c>
      <c r="J89" s="30" t="s">
        <v>311</v>
      </c>
      <c r="K89" s="31" t="n">
        <v>46330</v>
      </c>
      <c r="L89" s="31" t="n">
        <v>46330</v>
      </c>
      <c r="M89" s="31"/>
      <c r="N89" s="31"/>
      <c r="O89" s="32" t="n">
        <f aca="false">IF(OR(K89="",L89=""),0,L89-K89+1-COUNTIFS(휴일!$A$2:$A$20,"&gt;="&amp;K89,휴일!$A$2:$A$20,"&lt;="&amp;L89))</f>
        <v>1</v>
      </c>
      <c r="P89" s="32" t="n">
        <f aca="false">IF(OR(M89="",N89=""),0,N89-M89+1-COUNTIFS(휴일!$A$2:$A$20,"&gt;="&amp;M89,휴일!$A$2:$A$20,"&lt;="&amp;N89))</f>
        <v>0</v>
      </c>
      <c r="Q89" s="33" t="n">
        <f aca="false">IF(O89=0,0,MAX(0,MIN(O89,$L$1-K89+1-COUNTIFS(휴일!$A$2:$A$20,"&gt;="&amp;K89,휴일!$A$2:$A$20,"&lt;="&amp;$L$1))))</f>
        <v>0</v>
      </c>
      <c r="R89" s="33" t="n">
        <f aca="false">IF(P89=0,0,MIN(P89,O89))</f>
        <v>0</v>
      </c>
      <c r="S89" s="34" t="n">
        <f aca="false">IFERROR(Q89/O89,0)</f>
        <v>0</v>
      </c>
      <c r="T89" s="34" t="n">
        <f aca="false">IFERROR(R89/O89,0)</f>
        <v>0</v>
      </c>
      <c r="U89" s="35" t="n">
        <f aca="false">IF(OR(O89=0,R89=0),0,MIN(1,R89/O89))</f>
        <v>0</v>
      </c>
      <c r="V89" s="36" t="n">
        <f aca="false">U89-S89</f>
        <v>0</v>
      </c>
      <c r="W89" s="37" t="str">
        <f aca="false">IF(AND(W$5&gt;=$K89,W$5&lt;=$L89,COUNTIF(휴일!$A$2:$A$20,W$5)=0),IF($G89="선택","□","■"),"")</f>
        <v/>
      </c>
      <c r="X89" s="37" t="str">
        <f aca="false">IF(AND(X$5&gt;=$K89,X$5&lt;=$L89,COUNTIF(휴일!$A$2:$A$20,X$5)=0),IF($G89="선택","□","■"),"")</f>
        <v/>
      </c>
      <c r="Y89" s="37" t="str">
        <f aca="false">IF(AND(Y$5&gt;=$K89,Y$5&lt;=$L89,COUNTIF(휴일!$A$2:$A$20,Y$5)=0),IF($G89="선택","□","■"),"")</f>
        <v/>
      </c>
      <c r="Z89" s="37" t="str">
        <f aca="false">IF(AND(Z$5&gt;=$K89,Z$5&lt;=$L89,COUNTIF(휴일!$A$2:$A$20,Z$5)=0),IF($G89="선택","□","■"),"")</f>
        <v/>
      </c>
      <c r="AA89" s="37" t="str">
        <f aca="false">IF(AND(AA$5&gt;=$K89,AA$5&lt;=$L89,COUNTIF(휴일!$A$2:$A$20,AA$5)=0),IF($G89="선택","□","■"),"")</f>
        <v/>
      </c>
      <c r="AB89" s="37" t="str">
        <f aca="false">IF(AND(AB$5&gt;=$K89,AB$5&lt;=$L89,COUNTIF(휴일!$A$2:$A$20,AB$5)=0),IF($G89="선택","□","■"),"")</f>
        <v/>
      </c>
      <c r="AC89" s="37" t="str">
        <f aca="false">IF(AND(AC$5&gt;=$K89,AC$5&lt;=$L89,COUNTIF(휴일!$A$2:$A$20,AC$5)=0),IF($G89="선택","□","■"),"")</f>
        <v/>
      </c>
      <c r="AD89" s="37" t="str">
        <f aca="false">IF(AND(AD$5&gt;=$K89,AD$5&lt;=$L89,COUNTIF(휴일!$A$2:$A$20,AD$5)=0),IF($G89="선택","□","■"),"")</f>
        <v/>
      </c>
      <c r="AE89" s="37" t="str">
        <f aca="false">IF(AND(AE$5&gt;=$K89,AE$5&lt;=$L89,COUNTIF(휴일!$A$2:$A$20,AE$5)=0),IF($G89="선택","□","■"),"")</f>
        <v>■</v>
      </c>
      <c r="AF89" s="37" t="str">
        <f aca="false">IF(AND(AF$5&gt;=$K89,AF$5&lt;=$L89,COUNTIF(휴일!$A$2:$A$20,AF$5)=0),IF($G89="선택","□","■"),"")</f>
        <v/>
      </c>
    </row>
    <row r="90" customFormat="false" ht="30" hidden="false" customHeight="true" outlineLevel="0" collapsed="false">
      <c r="B90" s="23"/>
      <c r="C90" s="24"/>
      <c r="D90" s="25"/>
      <c r="E90" s="26" t="s">
        <v>312</v>
      </c>
      <c r="F90" s="27" t="s">
        <v>313</v>
      </c>
      <c r="G90" s="28" t="s">
        <v>30</v>
      </c>
      <c r="H90" s="28" t="s">
        <v>31</v>
      </c>
      <c r="I90" s="29" t="s">
        <v>314</v>
      </c>
      <c r="J90" s="30" t="s">
        <v>315</v>
      </c>
      <c r="K90" s="31" t="n">
        <v>46330</v>
      </c>
      <c r="L90" s="31" t="n">
        <v>46330</v>
      </c>
      <c r="M90" s="31"/>
      <c r="N90" s="31"/>
      <c r="O90" s="32" t="n">
        <f aca="false">IF(OR(K90="",L90=""),0,L90-K90+1-COUNTIFS(휴일!$A$2:$A$20,"&gt;="&amp;K90,휴일!$A$2:$A$20,"&lt;="&amp;L90))</f>
        <v>1</v>
      </c>
      <c r="P90" s="32" t="n">
        <f aca="false">IF(OR(M90="",N90=""),0,N90-M90+1-COUNTIFS(휴일!$A$2:$A$20,"&gt;="&amp;M90,휴일!$A$2:$A$20,"&lt;="&amp;N90))</f>
        <v>0</v>
      </c>
      <c r="Q90" s="33" t="n">
        <f aca="false">IF(O90=0,0,MAX(0,MIN(O90,$L$1-K90+1-COUNTIFS(휴일!$A$2:$A$20,"&gt;="&amp;K90,휴일!$A$2:$A$20,"&lt;="&amp;$L$1))))</f>
        <v>0</v>
      </c>
      <c r="R90" s="33" t="n">
        <f aca="false">IF(P90=0,0,MIN(P90,O90))</f>
        <v>0</v>
      </c>
      <c r="S90" s="34" t="n">
        <f aca="false">IFERROR(Q90/O90,0)</f>
        <v>0</v>
      </c>
      <c r="T90" s="34" t="n">
        <f aca="false">IFERROR(R90/O90,0)</f>
        <v>0</v>
      </c>
      <c r="U90" s="35" t="n">
        <f aca="false">IF(OR(O90=0,R90=0),0,MIN(1,R90/O90))</f>
        <v>0</v>
      </c>
      <c r="V90" s="36" t="n">
        <f aca="false">U90-S90</f>
        <v>0</v>
      </c>
      <c r="W90" s="37" t="str">
        <f aca="false">IF(AND(W$5&gt;=$K90,W$5&lt;=$L90,COUNTIF(휴일!$A$2:$A$20,W$5)=0),IF($G90="선택","□","■"),"")</f>
        <v/>
      </c>
      <c r="X90" s="37" t="str">
        <f aca="false">IF(AND(X$5&gt;=$K90,X$5&lt;=$L90,COUNTIF(휴일!$A$2:$A$20,X$5)=0),IF($G90="선택","□","■"),"")</f>
        <v/>
      </c>
      <c r="Y90" s="37" t="str">
        <f aca="false">IF(AND(Y$5&gt;=$K90,Y$5&lt;=$L90,COUNTIF(휴일!$A$2:$A$20,Y$5)=0),IF($G90="선택","□","■"),"")</f>
        <v/>
      </c>
      <c r="Z90" s="37" t="str">
        <f aca="false">IF(AND(Z$5&gt;=$K90,Z$5&lt;=$L90,COUNTIF(휴일!$A$2:$A$20,Z$5)=0),IF($G90="선택","□","■"),"")</f>
        <v/>
      </c>
      <c r="AA90" s="37" t="str">
        <f aca="false">IF(AND(AA$5&gt;=$K90,AA$5&lt;=$L90,COUNTIF(휴일!$A$2:$A$20,AA$5)=0),IF($G90="선택","□","■"),"")</f>
        <v/>
      </c>
      <c r="AB90" s="37" t="str">
        <f aca="false">IF(AND(AB$5&gt;=$K90,AB$5&lt;=$L90,COUNTIF(휴일!$A$2:$A$20,AB$5)=0),IF($G90="선택","□","■"),"")</f>
        <v/>
      </c>
      <c r="AC90" s="37" t="str">
        <f aca="false">IF(AND(AC$5&gt;=$K90,AC$5&lt;=$L90,COUNTIF(휴일!$A$2:$A$20,AC$5)=0),IF($G90="선택","□","■"),"")</f>
        <v/>
      </c>
      <c r="AD90" s="37" t="str">
        <f aca="false">IF(AND(AD$5&gt;=$K90,AD$5&lt;=$L90,COUNTIF(휴일!$A$2:$A$20,AD$5)=0),IF($G90="선택","□","■"),"")</f>
        <v/>
      </c>
      <c r="AE90" s="37" t="str">
        <f aca="false">IF(AND(AE$5&gt;=$K90,AE$5&lt;=$L90,COUNTIF(휴일!$A$2:$A$20,AE$5)=0),IF($G90="선택","□","■"),"")</f>
        <v>■</v>
      </c>
      <c r="AF90" s="37" t="str">
        <f aca="false">IF(AND(AF$5&gt;=$K90,AF$5&lt;=$L90,COUNTIF(휴일!$A$2:$A$20,AF$5)=0),IF($G90="선택","□","■"),"")</f>
        <v/>
      </c>
    </row>
    <row r="91" customFormat="false" ht="30" hidden="false" customHeight="true" outlineLevel="0" collapsed="false">
      <c r="B91" s="23"/>
      <c r="C91" s="24"/>
      <c r="D91" s="25"/>
      <c r="E91" s="26" t="s">
        <v>316</v>
      </c>
      <c r="F91" s="27" t="s">
        <v>317</v>
      </c>
      <c r="G91" s="28" t="s">
        <v>30</v>
      </c>
      <c r="H91" s="28" t="s">
        <v>31</v>
      </c>
      <c r="I91" s="29" t="s">
        <v>318</v>
      </c>
      <c r="J91" s="30" t="s">
        <v>319</v>
      </c>
      <c r="K91" s="31" t="n">
        <v>46330</v>
      </c>
      <c r="L91" s="31" t="n">
        <v>46330</v>
      </c>
      <c r="M91" s="31"/>
      <c r="N91" s="31"/>
      <c r="O91" s="32" t="n">
        <f aca="false">IF(OR(K91="",L91=""),0,L91-K91+1-COUNTIFS(휴일!$A$2:$A$20,"&gt;="&amp;K91,휴일!$A$2:$A$20,"&lt;="&amp;L91))</f>
        <v>1</v>
      </c>
      <c r="P91" s="32" t="n">
        <f aca="false">IF(OR(M91="",N91=""),0,N91-M91+1-COUNTIFS(휴일!$A$2:$A$20,"&gt;="&amp;M91,휴일!$A$2:$A$20,"&lt;="&amp;N91))</f>
        <v>0</v>
      </c>
      <c r="Q91" s="33" t="n">
        <f aca="false">IF(O91=0,0,MAX(0,MIN(O91,$L$1-K91+1-COUNTIFS(휴일!$A$2:$A$20,"&gt;="&amp;K91,휴일!$A$2:$A$20,"&lt;="&amp;$L$1))))</f>
        <v>0</v>
      </c>
      <c r="R91" s="33" t="n">
        <f aca="false">IF(P91=0,0,MIN(P91,O91))</f>
        <v>0</v>
      </c>
      <c r="S91" s="34" t="n">
        <f aca="false">IFERROR(Q91/O91,0)</f>
        <v>0</v>
      </c>
      <c r="T91" s="34" t="n">
        <f aca="false">IFERROR(R91/O91,0)</f>
        <v>0</v>
      </c>
      <c r="U91" s="35" t="n">
        <f aca="false">IF(OR(O91=0,R91=0),0,MIN(1,R91/O91))</f>
        <v>0</v>
      </c>
      <c r="V91" s="36" t="n">
        <f aca="false">U91-S91</f>
        <v>0</v>
      </c>
      <c r="W91" s="37" t="str">
        <f aca="false">IF(AND(W$5&gt;=$K91,W$5&lt;=$L91,COUNTIF(휴일!$A$2:$A$20,W$5)=0),IF($G91="선택","□","■"),"")</f>
        <v/>
      </c>
      <c r="X91" s="37" t="str">
        <f aca="false">IF(AND(X$5&gt;=$K91,X$5&lt;=$L91,COUNTIF(휴일!$A$2:$A$20,X$5)=0),IF($G91="선택","□","■"),"")</f>
        <v/>
      </c>
      <c r="Y91" s="37" t="str">
        <f aca="false">IF(AND(Y$5&gt;=$K91,Y$5&lt;=$L91,COUNTIF(휴일!$A$2:$A$20,Y$5)=0),IF($G91="선택","□","■"),"")</f>
        <v/>
      </c>
      <c r="Z91" s="37" t="str">
        <f aca="false">IF(AND(Z$5&gt;=$K91,Z$5&lt;=$L91,COUNTIF(휴일!$A$2:$A$20,Z$5)=0),IF($G91="선택","□","■"),"")</f>
        <v/>
      </c>
      <c r="AA91" s="37" t="str">
        <f aca="false">IF(AND(AA$5&gt;=$K91,AA$5&lt;=$L91,COUNTIF(휴일!$A$2:$A$20,AA$5)=0),IF($G91="선택","□","■"),"")</f>
        <v/>
      </c>
      <c r="AB91" s="37" t="str">
        <f aca="false">IF(AND(AB$5&gt;=$K91,AB$5&lt;=$L91,COUNTIF(휴일!$A$2:$A$20,AB$5)=0),IF($G91="선택","□","■"),"")</f>
        <v/>
      </c>
      <c r="AC91" s="37" t="str">
        <f aca="false">IF(AND(AC$5&gt;=$K91,AC$5&lt;=$L91,COUNTIF(휴일!$A$2:$A$20,AC$5)=0),IF($G91="선택","□","■"),"")</f>
        <v/>
      </c>
      <c r="AD91" s="37" t="str">
        <f aca="false">IF(AND(AD$5&gt;=$K91,AD$5&lt;=$L91,COUNTIF(휴일!$A$2:$A$20,AD$5)=0),IF($G91="선택","□","■"),"")</f>
        <v/>
      </c>
      <c r="AE91" s="37" t="str">
        <f aca="false">IF(AND(AE$5&gt;=$K91,AE$5&lt;=$L91,COUNTIF(휴일!$A$2:$A$20,AE$5)=0),IF($G91="선택","□","■"),"")</f>
        <v>■</v>
      </c>
      <c r="AF91" s="37" t="str">
        <f aca="false">IF(AND(AF$5&gt;=$K91,AF$5&lt;=$L91,COUNTIF(휴일!$A$2:$A$20,AF$5)=0),IF($G91="선택","□","■"),"")</f>
        <v/>
      </c>
    </row>
    <row r="92" customFormat="false" ht="30" hidden="false" customHeight="true" outlineLevel="0" collapsed="false">
      <c r="B92" s="23"/>
      <c r="C92" s="24"/>
      <c r="D92" s="25"/>
      <c r="E92" s="26" t="s">
        <v>320</v>
      </c>
      <c r="F92" s="27" t="s">
        <v>321</v>
      </c>
      <c r="G92" s="28" t="s">
        <v>30</v>
      </c>
      <c r="H92" s="28" t="s">
        <v>31</v>
      </c>
      <c r="I92" s="29" t="s">
        <v>322</v>
      </c>
      <c r="J92" s="30" t="s">
        <v>323</v>
      </c>
      <c r="K92" s="31" t="n">
        <v>46330</v>
      </c>
      <c r="L92" s="31" t="n">
        <v>46330</v>
      </c>
      <c r="M92" s="31"/>
      <c r="N92" s="31"/>
      <c r="O92" s="32" t="n">
        <f aca="false">IF(OR(K92="",L92=""),0,L92-K92+1-COUNTIFS(휴일!$A$2:$A$20,"&gt;="&amp;K92,휴일!$A$2:$A$20,"&lt;="&amp;L92))</f>
        <v>1</v>
      </c>
      <c r="P92" s="32" t="n">
        <f aca="false">IF(OR(M92="",N92=""),0,N92-M92+1-COUNTIFS(휴일!$A$2:$A$20,"&gt;="&amp;M92,휴일!$A$2:$A$20,"&lt;="&amp;N92))</f>
        <v>0</v>
      </c>
      <c r="Q92" s="33" t="n">
        <f aca="false">IF(O92=0,0,MAX(0,MIN(O92,$L$1-K92+1-COUNTIFS(휴일!$A$2:$A$20,"&gt;="&amp;K92,휴일!$A$2:$A$20,"&lt;="&amp;$L$1))))</f>
        <v>0</v>
      </c>
      <c r="R92" s="33" t="n">
        <f aca="false">IF(P92=0,0,MIN(P92,O92))</f>
        <v>0</v>
      </c>
      <c r="S92" s="34" t="n">
        <f aca="false">IFERROR(Q92/O92,0)</f>
        <v>0</v>
      </c>
      <c r="T92" s="34" t="n">
        <f aca="false">IFERROR(R92/O92,0)</f>
        <v>0</v>
      </c>
      <c r="U92" s="35" t="n">
        <f aca="false">IF(OR(O92=0,R92=0),0,MIN(1,R92/O92))</f>
        <v>0</v>
      </c>
      <c r="V92" s="36" t="n">
        <f aca="false">U92-S92</f>
        <v>0</v>
      </c>
      <c r="W92" s="37" t="str">
        <f aca="false">IF(AND(W$5&gt;=$K92,W$5&lt;=$L92,COUNTIF(휴일!$A$2:$A$20,W$5)=0),IF($G92="선택","□","■"),"")</f>
        <v/>
      </c>
      <c r="X92" s="37" t="str">
        <f aca="false">IF(AND(X$5&gt;=$K92,X$5&lt;=$L92,COUNTIF(휴일!$A$2:$A$20,X$5)=0),IF($G92="선택","□","■"),"")</f>
        <v/>
      </c>
      <c r="Y92" s="37" t="str">
        <f aca="false">IF(AND(Y$5&gt;=$K92,Y$5&lt;=$L92,COUNTIF(휴일!$A$2:$A$20,Y$5)=0),IF($G92="선택","□","■"),"")</f>
        <v/>
      </c>
      <c r="Z92" s="37" t="str">
        <f aca="false">IF(AND(Z$5&gt;=$K92,Z$5&lt;=$L92,COUNTIF(휴일!$A$2:$A$20,Z$5)=0),IF($G92="선택","□","■"),"")</f>
        <v/>
      </c>
      <c r="AA92" s="37" t="str">
        <f aca="false">IF(AND(AA$5&gt;=$K92,AA$5&lt;=$L92,COUNTIF(휴일!$A$2:$A$20,AA$5)=0),IF($G92="선택","□","■"),"")</f>
        <v/>
      </c>
      <c r="AB92" s="37" t="str">
        <f aca="false">IF(AND(AB$5&gt;=$K92,AB$5&lt;=$L92,COUNTIF(휴일!$A$2:$A$20,AB$5)=0),IF($G92="선택","□","■"),"")</f>
        <v/>
      </c>
      <c r="AC92" s="37" t="str">
        <f aca="false">IF(AND(AC$5&gt;=$K92,AC$5&lt;=$L92,COUNTIF(휴일!$A$2:$A$20,AC$5)=0),IF($G92="선택","□","■"),"")</f>
        <v/>
      </c>
      <c r="AD92" s="37" t="str">
        <f aca="false">IF(AND(AD$5&gt;=$K92,AD$5&lt;=$L92,COUNTIF(휴일!$A$2:$A$20,AD$5)=0),IF($G92="선택","□","■"),"")</f>
        <v/>
      </c>
      <c r="AE92" s="37" t="str">
        <f aca="false">IF(AND(AE$5&gt;=$K92,AE$5&lt;=$L92,COUNTIF(휴일!$A$2:$A$20,AE$5)=0),IF($G92="선택","□","■"),"")</f>
        <v>■</v>
      </c>
      <c r="AF92" s="37" t="str">
        <f aca="false">IF(AND(AF$5&gt;=$K92,AF$5&lt;=$L92,COUNTIF(휴일!$A$2:$A$20,AF$5)=0),IF($G92="선택","□","■"),"")</f>
        <v/>
      </c>
    </row>
    <row r="93" customFormat="false" ht="30" hidden="false" customHeight="true" outlineLevel="0" collapsed="false">
      <c r="B93" s="23"/>
      <c r="C93" s="24"/>
      <c r="D93" s="25"/>
      <c r="E93" s="26" t="s">
        <v>324</v>
      </c>
      <c r="F93" s="27" t="s">
        <v>325</v>
      </c>
      <c r="G93" s="28" t="s">
        <v>30</v>
      </c>
      <c r="H93" s="28" t="s">
        <v>31</v>
      </c>
      <c r="I93" s="29" t="s">
        <v>326</v>
      </c>
      <c r="J93" s="30" t="s">
        <v>327</v>
      </c>
      <c r="K93" s="31" t="n">
        <v>46330</v>
      </c>
      <c r="L93" s="31" t="n">
        <v>46330</v>
      </c>
      <c r="M93" s="31"/>
      <c r="N93" s="31"/>
      <c r="O93" s="32" t="n">
        <f aca="false">IF(OR(K93="",L93=""),0,L93-K93+1-COUNTIFS(휴일!$A$2:$A$20,"&gt;="&amp;K93,휴일!$A$2:$A$20,"&lt;="&amp;L93))</f>
        <v>1</v>
      </c>
      <c r="P93" s="32" t="n">
        <f aca="false">IF(OR(M93="",N93=""),0,N93-M93+1-COUNTIFS(휴일!$A$2:$A$20,"&gt;="&amp;M93,휴일!$A$2:$A$20,"&lt;="&amp;N93))</f>
        <v>0</v>
      </c>
      <c r="Q93" s="33" t="n">
        <f aca="false">IF(O93=0,0,MAX(0,MIN(O93,$L$1-K93+1-COUNTIFS(휴일!$A$2:$A$20,"&gt;="&amp;K93,휴일!$A$2:$A$20,"&lt;="&amp;$L$1))))</f>
        <v>0</v>
      </c>
      <c r="R93" s="33" t="n">
        <f aca="false">IF(P93=0,0,MIN(P93,O93))</f>
        <v>0</v>
      </c>
      <c r="S93" s="34" t="n">
        <f aca="false">IFERROR(Q93/O93,0)</f>
        <v>0</v>
      </c>
      <c r="T93" s="34" t="n">
        <f aca="false">IFERROR(R93/O93,0)</f>
        <v>0</v>
      </c>
      <c r="U93" s="35" t="n">
        <f aca="false">IF(OR(O93=0,R93=0),0,MIN(1,R93/O93))</f>
        <v>0</v>
      </c>
      <c r="V93" s="36" t="n">
        <f aca="false">U93-S93</f>
        <v>0</v>
      </c>
      <c r="W93" s="37" t="str">
        <f aca="false">IF(AND(W$5&gt;=$K93,W$5&lt;=$L93,COUNTIF(휴일!$A$2:$A$20,W$5)=0),IF($G93="선택","□","■"),"")</f>
        <v/>
      </c>
      <c r="X93" s="37" t="str">
        <f aca="false">IF(AND(X$5&gt;=$K93,X$5&lt;=$L93,COUNTIF(휴일!$A$2:$A$20,X$5)=0),IF($G93="선택","□","■"),"")</f>
        <v/>
      </c>
      <c r="Y93" s="37" t="str">
        <f aca="false">IF(AND(Y$5&gt;=$K93,Y$5&lt;=$L93,COUNTIF(휴일!$A$2:$A$20,Y$5)=0),IF($G93="선택","□","■"),"")</f>
        <v/>
      </c>
      <c r="Z93" s="37" t="str">
        <f aca="false">IF(AND(Z$5&gt;=$K93,Z$5&lt;=$L93,COUNTIF(휴일!$A$2:$A$20,Z$5)=0),IF($G93="선택","□","■"),"")</f>
        <v/>
      </c>
      <c r="AA93" s="37" t="str">
        <f aca="false">IF(AND(AA$5&gt;=$K93,AA$5&lt;=$L93,COUNTIF(휴일!$A$2:$A$20,AA$5)=0),IF($G93="선택","□","■"),"")</f>
        <v/>
      </c>
      <c r="AB93" s="37" t="str">
        <f aca="false">IF(AND(AB$5&gt;=$K93,AB$5&lt;=$L93,COUNTIF(휴일!$A$2:$A$20,AB$5)=0),IF($G93="선택","□","■"),"")</f>
        <v/>
      </c>
      <c r="AC93" s="37" t="str">
        <f aca="false">IF(AND(AC$5&gt;=$K93,AC$5&lt;=$L93,COUNTIF(휴일!$A$2:$A$20,AC$5)=0),IF($G93="선택","□","■"),"")</f>
        <v/>
      </c>
      <c r="AD93" s="37" t="str">
        <f aca="false">IF(AND(AD$5&gt;=$K93,AD$5&lt;=$L93,COUNTIF(휴일!$A$2:$A$20,AD$5)=0),IF($G93="선택","□","■"),"")</f>
        <v/>
      </c>
      <c r="AE93" s="37" t="str">
        <f aca="false">IF(AND(AE$5&gt;=$K93,AE$5&lt;=$L93,COUNTIF(휴일!$A$2:$A$20,AE$5)=0),IF($G93="선택","□","■"),"")</f>
        <v>■</v>
      </c>
      <c r="AF93" s="37" t="str">
        <f aca="false">IF(AND(AF$5&gt;=$K93,AF$5&lt;=$L93,COUNTIF(휴일!$A$2:$A$20,AF$5)=0),IF($G93="선택","□","■"),"")</f>
        <v/>
      </c>
    </row>
    <row r="94" customFormat="false" ht="30" hidden="false" customHeight="true" outlineLevel="0" collapsed="false">
      <c r="B94" s="23"/>
      <c r="C94" s="24"/>
      <c r="D94" s="25"/>
      <c r="E94" s="26" t="s">
        <v>285</v>
      </c>
      <c r="F94" s="27" t="s">
        <v>328</v>
      </c>
      <c r="G94" s="28" t="s">
        <v>30</v>
      </c>
      <c r="H94" s="28" t="s">
        <v>31</v>
      </c>
      <c r="I94" s="29" t="s">
        <v>329</v>
      </c>
      <c r="J94" s="30" t="s">
        <v>330</v>
      </c>
      <c r="K94" s="31" t="n">
        <v>46330</v>
      </c>
      <c r="L94" s="31" t="n">
        <v>46330</v>
      </c>
      <c r="M94" s="31"/>
      <c r="N94" s="31"/>
      <c r="O94" s="32" t="n">
        <f aca="false">IF(OR(K94="",L94=""),0,L94-K94+1-COUNTIFS(휴일!$A$2:$A$20,"&gt;="&amp;K94,휴일!$A$2:$A$20,"&lt;="&amp;L94))</f>
        <v>1</v>
      </c>
      <c r="P94" s="32" t="n">
        <f aca="false">IF(OR(M94="",N94=""),0,N94-M94+1-COUNTIFS(휴일!$A$2:$A$20,"&gt;="&amp;M94,휴일!$A$2:$A$20,"&lt;="&amp;N94))</f>
        <v>0</v>
      </c>
      <c r="Q94" s="33" t="n">
        <f aca="false">IF(O94=0,0,MAX(0,MIN(O94,$L$1-K94+1-COUNTIFS(휴일!$A$2:$A$20,"&gt;="&amp;K94,휴일!$A$2:$A$20,"&lt;="&amp;$L$1))))</f>
        <v>0</v>
      </c>
      <c r="R94" s="33" t="n">
        <f aca="false">IF(P94=0,0,MIN(P94,O94))</f>
        <v>0</v>
      </c>
      <c r="S94" s="34" t="n">
        <f aca="false">IFERROR(Q94/O94,0)</f>
        <v>0</v>
      </c>
      <c r="T94" s="34" t="n">
        <f aca="false">IFERROR(R94/O94,0)</f>
        <v>0</v>
      </c>
      <c r="U94" s="35" t="n">
        <f aca="false">IF(OR(O94=0,R94=0),0,MIN(1,R94/O94))</f>
        <v>0</v>
      </c>
      <c r="V94" s="36" t="n">
        <f aca="false">U94-S94</f>
        <v>0</v>
      </c>
      <c r="W94" s="37" t="str">
        <f aca="false">IF(AND(W$5&gt;=$K94,W$5&lt;=$L94,COUNTIF(휴일!$A$2:$A$20,W$5)=0),IF($G94="선택","□","■"),"")</f>
        <v/>
      </c>
      <c r="X94" s="37" t="str">
        <f aca="false">IF(AND(X$5&gt;=$K94,X$5&lt;=$L94,COUNTIF(휴일!$A$2:$A$20,X$5)=0),IF($G94="선택","□","■"),"")</f>
        <v/>
      </c>
      <c r="Y94" s="37" t="str">
        <f aca="false">IF(AND(Y$5&gt;=$K94,Y$5&lt;=$L94,COUNTIF(휴일!$A$2:$A$20,Y$5)=0),IF($G94="선택","□","■"),"")</f>
        <v/>
      </c>
      <c r="Z94" s="37" t="str">
        <f aca="false">IF(AND(Z$5&gt;=$K94,Z$5&lt;=$L94,COUNTIF(휴일!$A$2:$A$20,Z$5)=0),IF($G94="선택","□","■"),"")</f>
        <v/>
      </c>
      <c r="AA94" s="37" t="str">
        <f aca="false">IF(AND(AA$5&gt;=$K94,AA$5&lt;=$L94,COUNTIF(휴일!$A$2:$A$20,AA$5)=0),IF($G94="선택","□","■"),"")</f>
        <v/>
      </c>
      <c r="AB94" s="37" t="str">
        <f aca="false">IF(AND(AB$5&gt;=$K94,AB$5&lt;=$L94,COUNTIF(휴일!$A$2:$A$20,AB$5)=0),IF($G94="선택","□","■"),"")</f>
        <v/>
      </c>
      <c r="AC94" s="37" t="str">
        <f aca="false">IF(AND(AC$5&gt;=$K94,AC$5&lt;=$L94,COUNTIF(휴일!$A$2:$A$20,AC$5)=0),IF($G94="선택","□","■"),"")</f>
        <v/>
      </c>
      <c r="AD94" s="37" t="str">
        <f aca="false">IF(AND(AD$5&gt;=$K94,AD$5&lt;=$L94,COUNTIF(휴일!$A$2:$A$20,AD$5)=0),IF($G94="선택","□","■"),"")</f>
        <v/>
      </c>
      <c r="AE94" s="37" t="str">
        <f aca="false">IF(AND(AE$5&gt;=$K94,AE$5&lt;=$L94,COUNTIF(휴일!$A$2:$A$20,AE$5)=0),IF($G94="선택","□","■"),"")</f>
        <v>■</v>
      </c>
      <c r="AF94" s="37" t="str">
        <f aca="false">IF(AND(AF$5&gt;=$K94,AF$5&lt;=$L94,COUNTIF(휴일!$A$2:$A$20,AF$5)=0),IF($G94="선택","□","■"),"")</f>
        <v/>
      </c>
    </row>
    <row r="95" customFormat="false" ht="30" hidden="false" customHeight="true" outlineLevel="0" collapsed="false">
      <c r="B95" s="23"/>
      <c r="C95" s="24"/>
      <c r="D95" s="25"/>
      <c r="E95" s="26" t="s">
        <v>285</v>
      </c>
      <c r="F95" s="27" t="s">
        <v>331</v>
      </c>
      <c r="G95" s="28" t="s">
        <v>30</v>
      </c>
      <c r="H95" s="28" t="s">
        <v>31</v>
      </c>
      <c r="I95" s="29" t="s">
        <v>294</v>
      </c>
      <c r="J95" s="30" t="s">
        <v>332</v>
      </c>
      <c r="K95" s="31" t="n">
        <v>46330</v>
      </c>
      <c r="L95" s="31" t="n">
        <v>46330</v>
      </c>
      <c r="M95" s="31"/>
      <c r="N95" s="31"/>
      <c r="O95" s="32" t="n">
        <f aca="false">IF(OR(K95="",L95=""),0,L95-K95+1-COUNTIFS(휴일!$A$2:$A$20,"&gt;="&amp;K95,휴일!$A$2:$A$20,"&lt;="&amp;L95))</f>
        <v>1</v>
      </c>
      <c r="P95" s="32" t="n">
        <f aca="false">IF(OR(M95="",N95=""),0,N95-M95+1-COUNTIFS(휴일!$A$2:$A$20,"&gt;="&amp;M95,휴일!$A$2:$A$20,"&lt;="&amp;N95))</f>
        <v>0</v>
      </c>
      <c r="Q95" s="33" t="n">
        <f aca="false">IF(O95=0,0,MAX(0,MIN(O95,$L$1-K95+1-COUNTIFS(휴일!$A$2:$A$20,"&gt;="&amp;K95,휴일!$A$2:$A$20,"&lt;="&amp;$L$1))))</f>
        <v>0</v>
      </c>
      <c r="R95" s="33" t="n">
        <f aca="false">IF(P95=0,0,MIN(P95,O95))</f>
        <v>0</v>
      </c>
      <c r="S95" s="34" t="n">
        <f aca="false">IFERROR(Q95/O95,0)</f>
        <v>0</v>
      </c>
      <c r="T95" s="34" t="n">
        <f aca="false">IFERROR(R95/O95,0)</f>
        <v>0</v>
      </c>
      <c r="U95" s="35" t="n">
        <f aca="false">IF(OR(O95=0,R95=0),0,MIN(1,R95/O95))</f>
        <v>0</v>
      </c>
      <c r="V95" s="36" t="n">
        <f aca="false">U95-S95</f>
        <v>0</v>
      </c>
      <c r="W95" s="37" t="str">
        <f aca="false">IF(AND(W$5&gt;=$K95,W$5&lt;=$L95,COUNTIF(휴일!$A$2:$A$20,W$5)=0),IF($G95="선택","□","■"),"")</f>
        <v/>
      </c>
      <c r="X95" s="37" t="str">
        <f aca="false">IF(AND(X$5&gt;=$K95,X$5&lt;=$L95,COUNTIF(휴일!$A$2:$A$20,X$5)=0),IF($G95="선택","□","■"),"")</f>
        <v/>
      </c>
      <c r="Y95" s="37" t="str">
        <f aca="false">IF(AND(Y$5&gt;=$K95,Y$5&lt;=$L95,COUNTIF(휴일!$A$2:$A$20,Y$5)=0),IF($G95="선택","□","■"),"")</f>
        <v/>
      </c>
      <c r="Z95" s="37" t="str">
        <f aca="false">IF(AND(Z$5&gt;=$K95,Z$5&lt;=$L95,COUNTIF(휴일!$A$2:$A$20,Z$5)=0),IF($G95="선택","□","■"),"")</f>
        <v/>
      </c>
      <c r="AA95" s="37" t="str">
        <f aca="false">IF(AND(AA$5&gt;=$K95,AA$5&lt;=$L95,COUNTIF(휴일!$A$2:$A$20,AA$5)=0),IF($G95="선택","□","■"),"")</f>
        <v/>
      </c>
      <c r="AB95" s="37" t="str">
        <f aca="false">IF(AND(AB$5&gt;=$K95,AB$5&lt;=$L95,COUNTIF(휴일!$A$2:$A$20,AB$5)=0),IF($G95="선택","□","■"),"")</f>
        <v/>
      </c>
      <c r="AC95" s="37" t="str">
        <f aca="false">IF(AND(AC$5&gt;=$K95,AC$5&lt;=$L95,COUNTIF(휴일!$A$2:$A$20,AC$5)=0),IF($G95="선택","□","■"),"")</f>
        <v/>
      </c>
      <c r="AD95" s="37" t="str">
        <f aca="false">IF(AND(AD$5&gt;=$K95,AD$5&lt;=$L95,COUNTIF(휴일!$A$2:$A$20,AD$5)=0),IF($G95="선택","□","■"),"")</f>
        <v/>
      </c>
      <c r="AE95" s="37" t="str">
        <f aca="false">IF(AND(AE$5&gt;=$K95,AE$5&lt;=$L95,COUNTIF(휴일!$A$2:$A$20,AE$5)=0),IF($G95="선택","□","■"),"")</f>
        <v>■</v>
      </c>
      <c r="AF95" s="37" t="str">
        <f aca="false">IF(AND(AF$5&gt;=$K95,AF$5&lt;=$L95,COUNTIF(휴일!$A$2:$A$20,AF$5)=0),IF($G95="선택","□","■"),"")</f>
        <v/>
      </c>
    </row>
    <row r="96" customFormat="false" ht="7.5" hidden="false" customHeight="true" outlineLevel="0" collapsed="false">
      <c r="B96" s="23"/>
      <c r="C96" s="24"/>
      <c r="D96" s="25"/>
      <c r="E96" s="26"/>
      <c r="F96" s="38"/>
      <c r="G96" s="28"/>
      <c r="H96" s="28"/>
      <c r="I96" s="28"/>
      <c r="J96" s="28"/>
      <c r="K96" s="31"/>
      <c r="L96" s="31"/>
      <c r="M96" s="31"/>
      <c r="N96" s="31"/>
      <c r="O96" s="32"/>
      <c r="P96" s="32"/>
      <c r="Q96" s="32"/>
      <c r="R96" s="32"/>
      <c r="S96" s="34"/>
      <c r="T96" s="34"/>
      <c r="U96" s="34"/>
      <c r="V96" s="34"/>
      <c r="W96" s="39"/>
      <c r="X96" s="39"/>
      <c r="Y96" s="39"/>
      <c r="Z96" s="39"/>
      <c r="AA96" s="39"/>
      <c r="AB96" s="39"/>
      <c r="AC96" s="39"/>
      <c r="AD96" s="39"/>
      <c r="AE96" s="39"/>
      <c r="AF96" s="39"/>
    </row>
    <row r="97" customFormat="false" ht="30" hidden="false" customHeight="true" outlineLevel="0" collapsed="false">
      <c r="B97" s="23" t="n">
        <v>6</v>
      </c>
      <c r="C97" s="24" t="n">
        <v>0.1</v>
      </c>
      <c r="D97" s="25" t="s">
        <v>333</v>
      </c>
      <c r="E97" s="26" t="s">
        <v>334</v>
      </c>
      <c r="F97" s="27" t="s">
        <v>335</v>
      </c>
      <c r="G97" s="28" t="s">
        <v>30</v>
      </c>
      <c r="H97" s="28" t="s">
        <v>31</v>
      </c>
      <c r="I97" s="29" t="s">
        <v>336</v>
      </c>
      <c r="J97" s="30" t="s">
        <v>337</v>
      </c>
      <c r="K97" s="31" t="n">
        <v>46331</v>
      </c>
      <c r="L97" s="31" t="n">
        <v>46331</v>
      </c>
      <c r="M97" s="31"/>
      <c r="N97" s="31"/>
      <c r="O97" s="32" t="n">
        <f aca="false">IF(OR(K97="",L97=""),0,L97-K97+1-COUNTIFS(휴일!$A$2:$A$20,"&gt;="&amp;K97,휴일!$A$2:$A$20,"&lt;="&amp;L97))</f>
        <v>1</v>
      </c>
      <c r="P97" s="32" t="n">
        <f aca="false">IF(OR(M97="",N97=""),0,N97-M97+1-COUNTIFS(휴일!$A$2:$A$20,"&gt;="&amp;M97,휴일!$A$2:$A$20,"&lt;="&amp;N97))</f>
        <v>0</v>
      </c>
      <c r="Q97" s="33" t="n">
        <f aca="false">IF(O97=0,0,MAX(0,MIN(O97,$L$1-K97+1-COUNTIFS(휴일!$A$2:$A$20,"&gt;="&amp;K97,휴일!$A$2:$A$20,"&lt;="&amp;$L$1))))</f>
        <v>0</v>
      </c>
      <c r="R97" s="33" t="n">
        <f aca="false">IF(P97=0,0,MIN(P97,O97))</f>
        <v>0</v>
      </c>
      <c r="S97" s="34" t="n">
        <f aca="false">IFERROR(Q97/O97,0)</f>
        <v>0</v>
      </c>
      <c r="T97" s="34" t="n">
        <f aca="false">IFERROR(R97/O97,0)</f>
        <v>0</v>
      </c>
      <c r="U97" s="35" t="n">
        <f aca="false">IF(OR(O97=0,R97=0),0,MIN(1,R97/O97))</f>
        <v>0</v>
      </c>
      <c r="V97" s="36" t="n">
        <f aca="false">U97-S97</f>
        <v>0</v>
      </c>
      <c r="W97" s="37" t="str">
        <f aca="false">IF(AND(W$5&gt;=$K97,W$5&lt;=$L97,COUNTIF(휴일!$A$2:$A$20,W$5)=0),IF($G97="선택","□","■"),"")</f>
        <v/>
      </c>
      <c r="X97" s="37" t="str">
        <f aca="false">IF(AND(X$5&gt;=$K97,X$5&lt;=$L97,COUNTIF(휴일!$A$2:$A$20,X$5)=0),IF($G97="선택","□","■"),"")</f>
        <v/>
      </c>
      <c r="Y97" s="37" t="str">
        <f aca="false">IF(AND(Y$5&gt;=$K97,Y$5&lt;=$L97,COUNTIF(휴일!$A$2:$A$20,Y$5)=0),IF($G97="선택","□","■"),"")</f>
        <v/>
      </c>
      <c r="Z97" s="37" t="str">
        <f aca="false">IF(AND(Z$5&gt;=$K97,Z$5&lt;=$L97,COUNTIF(휴일!$A$2:$A$20,Z$5)=0),IF($G97="선택","□","■"),"")</f>
        <v/>
      </c>
      <c r="AA97" s="37" t="str">
        <f aca="false">IF(AND(AA$5&gt;=$K97,AA$5&lt;=$L97,COUNTIF(휴일!$A$2:$A$20,AA$5)=0),IF($G97="선택","□","■"),"")</f>
        <v/>
      </c>
      <c r="AB97" s="37" t="str">
        <f aca="false">IF(AND(AB$5&gt;=$K97,AB$5&lt;=$L97,COUNTIF(휴일!$A$2:$A$20,AB$5)=0),IF($G97="선택","□","■"),"")</f>
        <v/>
      </c>
      <c r="AC97" s="37" t="str">
        <f aca="false">IF(AND(AC$5&gt;=$K97,AC$5&lt;=$L97,COUNTIF(휴일!$A$2:$A$20,AC$5)=0),IF($G97="선택","□","■"),"")</f>
        <v/>
      </c>
      <c r="AD97" s="37" t="str">
        <f aca="false">IF(AND(AD$5&gt;=$K97,AD$5&lt;=$L97,COUNTIF(휴일!$A$2:$A$20,AD$5)=0),IF($G97="선택","□","■"),"")</f>
        <v/>
      </c>
      <c r="AE97" s="37" t="str">
        <f aca="false">IF(AND(AE$5&gt;=$K97,AE$5&lt;=$L97,COUNTIF(휴일!$A$2:$A$20,AE$5)=0),IF($G97="선택","□","■"),"")</f>
        <v/>
      </c>
      <c r="AF97" s="37" t="str">
        <f aca="false">IF(AND(AF$5&gt;=$K97,AF$5&lt;=$L97,COUNTIF(휴일!$A$2:$A$20,AF$5)=0),IF($G97="선택","□","■"),"")</f>
        <v>■</v>
      </c>
    </row>
    <row r="98" customFormat="false" ht="30" hidden="false" customHeight="true" outlineLevel="0" collapsed="false">
      <c r="B98" s="23"/>
      <c r="C98" s="24"/>
      <c r="D98" s="25"/>
      <c r="E98" s="26" t="s">
        <v>338</v>
      </c>
      <c r="F98" s="27" t="s">
        <v>339</v>
      </c>
      <c r="G98" s="28" t="s">
        <v>30</v>
      </c>
      <c r="H98" s="28" t="s">
        <v>31</v>
      </c>
      <c r="I98" s="29" t="s">
        <v>340</v>
      </c>
      <c r="J98" s="30" t="s">
        <v>341</v>
      </c>
      <c r="K98" s="31" t="n">
        <v>46331</v>
      </c>
      <c r="L98" s="31" t="n">
        <v>46331</v>
      </c>
      <c r="M98" s="31"/>
      <c r="N98" s="31"/>
      <c r="O98" s="32" t="n">
        <f aca="false">IF(OR(K98="",L98=""),0,L98-K98+1-COUNTIFS(휴일!$A$2:$A$20,"&gt;="&amp;K98,휴일!$A$2:$A$20,"&lt;="&amp;L98))</f>
        <v>1</v>
      </c>
      <c r="P98" s="32" t="n">
        <f aca="false">IF(OR(M98="",N98=""),0,N98-M98+1-COUNTIFS(휴일!$A$2:$A$20,"&gt;="&amp;M98,휴일!$A$2:$A$20,"&lt;="&amp;N98))</f>
        <v>0</v>
      </c>
      <c r="Q98" s="33" t="n">
        <f aca="false">IF(O98=0,0,MAX(0,MIN(O98,$L$1-K98+1-COUNTIFS(휴일!$A$2:$A$20,"&gt;="&amp;K98,휴일!$A$2:$A$20,"&lt;="&amp;$L$1))))</f>
        <v>0</v>
      </c>
      <c r="R98" s="33" t="n">
        <f aca="false">IF(P98=0,0,MIN(P98,O98))</f>
        <v>0</v>
      </c>
      <c r="S98" s="34" t="n">
        <f aca="false">IFERROR(Q98/O98,0)</f>
        <v>0</v>
      </c>
      <c r="T98" s="34" t="n">
        <f aca="false">IFERROR(R98/O98,0)</f>
        <v>0</v>
      </c>
      <c r="U98" s="35" t="n">
        <f aca="false">IF(OR(O98=0,R98=0),0,MIN(1,R98/O98))</f>
        <v>0</v>
      </c>
      <c r="V98" s="36" t="n">
        <f aca="false">U98-S98</f>
        <v>0</v>
      </c>
      <c r="W98" s="37" t="str">
        <f aca="false">IF(AND(W$5&gt;=$K98,W$5&lt;=$L98,COUNTIF(휴일!$A$2:$A$20,W$5)=0),IF($G98="선택","□","■"),"")</f>
        <v/>
      </c>
      <c r="X98" s="37" t="str">
        <f aca="false">IF(AND(X$5&gt;=$K98,X$5&lt;=$L98,COUNTIF(휴일!$A$2:$A$20,X$5)=0),IF($G98="선택","□","■"),"")</f>
        <v/>
      </c>
      <c r="Y98" s="37" t="str">
        <f aca="false">IF(AND(Y$5&gt;=$K98,Y$5&lt;=$L98,COUNTIF(휴일!$A$2:$A$20,Y$5)=0),IF($G98="선택","□","■"),"")</f>
        <v/>
      </c>
      <c r="Z98" s="37" t="str">
        <f aca="false">IF(AND(Z$5&gt;=$K98,Z$5&lt;=$L98,COUNTIF(휴일!$A$2:$A$20,Z$5)=0),IF($G98="선택","□","■"),"")</f>
        <v/>
      </c>
      <c r="AA98" s="37" t="str">
        <f aca="false">IF(AND(AA$5&gt;=$K98,AA$5&lt;=$L98,COUNTIF(휴일!$A$2:$A$20,AA$5)=0),IF($G98="선택","□","■"),"")</f>
        <v/>
      </c>
      <c r="AB98" s="37" t="str">
        <f aca="false">IF(AND(AB$5&gt;=$K98,AB$5&lt;=$L98,COUNTIF(휴일!$A$2:$A$20,AB$5)=0),IF($G98="선택","□","■"),"")</f>
        <v/>
      </c>
      <c r="AC98" s="37" t="str">
        <f aca="false">IF(AND(AC$5&gt;=$K98,AC$5&lt;=$L98,COUNTIF(휴일!$A$2:$A$20,AC$5)=0),IF($G98="선택","□","■"),"")</f>
        <v/>
      </c>
      <c r="AD98" s="37" t="str">
        <f aca="false">IF(AND(AD$5&gt;=$K98,AD$5&lt;=$L98,COUNTIF(휴일!$A$2:$A$20,AD$5)=0),IF($G98="선택","□","■"),"")</f>
        <v/>
      </c>
      <c r="AE98" s="37" t="str">
        <f aca="false">IF(AND(AE$5&gt;=$K98,AE$5&lt;=$L98,COUNTIF(휴일!$A$2:$A$20,AE$5)=0),IF($G98="선택","□","■"),"")</f>
        <v/>
      </c>
      <c r="AF98" s="37" t="str">
        <f aca="false">IF(AND(AF$5&gt;=$K98,AF$5&lt;=$L98,COUNTIF(휴일!$A$2:$A$20,AF$5)=0),IF($G98="선택","□","■"),"")</f>
        <v>■</v>
      </c>
    </row>
    <row r="99" customFormat="false" ht="30" hidden="false" customHeight="true" outlineLevel="0" collapsed="false">
      <c r="B99" s="23"/>
      <c r="C99" s="24"/>
      <c r="D99" s="25"/>
      <c r="E99" s="26" t="s">
        <v>316</v>
      </c>
      <c r="F99" s="27" t="s">
        <v>342</v>
      </c>
      <c r="G99" s="28" t="s">
        <v>30</v>
      </c>
      <c r="H99" s="28" t="s">
        <v>31</v>
      </c>
      <c r="I99" s="29" t="s">
        <v>343</v>
      </c>
      <c r="J99" s="30" t="s">
        <v>344</v>
      </c>
      <c r="K99" s="31" t="n">
        <v>46331</v>
      </c>
      <c r="L99" s="31" t="n">
        <v>46331</v>
      </c>
      <c r="M99" s="31"/>
      <c r="N99" s="31"/>
      <c r="O99" s="32" t="n">
        <f aca="false">IF(OR(K99="",L99=""),0,L99-K99+1-COUNTIFS(휴일!$A$2:$A$20,"&gt;="&amp;K99,휴일!$A$2:$A$20,"&lt;="&amp;L99))</f>
        <v>1</v>
      </c>
      <c r="P99" s="32" t="n">
        <f aca="false">IF(OR(M99="",N99=""),0,N99-M99+1-COUNTIFS(휴일!$A$2:$A$20,"&gt;="&amp;M99,휴일!$A$2:$A$20,"&lt;="&amp;N99))</f>
        <v>0</v>
      </c>
      <c r="Q99" s="33" t="n">
        <f aca="false">IF(O99=0,0,MAX(0,MIN(O99,$L$1-K99+1-COUNTIFS(휴일!$A$2:$A$20,"&gt;="&amp;K99,휴일!$A$2:$A$20,"&lt;="&amp;$L$1))))</f>
        <v>0</v>
      </c>
      <c r="R99" s="33" t="n">
        <f aca="false">IF(P99=0,0,MIN(P99,O99))</f>
        <v>0</v>
      </c>
      <c r="S99" s="34" t="n">
        <f aca="false">IFERROR(Q99/O99,0)</f>
        <v>0</v>
      </c>
      <c r="T99" s="34" t="n">
        <f aca="false">IFERROR(R99/O99,0)</f>
        <v>0</v>
      </c>
      <c r="U99" s="35" t="n">
        <f aca="false">IF(OR(O99=0,R99=0),0,MIN(1,R99/O99))</f>
        <v>0</v>
      </c>
      <c r="V99" s="36" t="n">
        <f aca="false">U99-S99</f>
        <v>0</v>
      </c>
      <c r="W99" s="37" t="str">
        <f aca="false">IF(AND(W$5&gt;=$K99,W$5&lt;=$L99,COUNTIF(휴일!$A$2:$A$20,W$5)=0),IF($G99="선택","□","■"),"")</f>
        <v/>
      </c>
      <c r="X99" s="37" t="str">
        <f aca="false">IF(AND(X$5&gt;=$K99,X$5&lt;=$L99,COUNTIF(휴일!$A$2:$A$20,X$5)=0),IF($G99="선택","□","■"),"")</f>
        <v/>
      </c>
      <c r="Y99" s="37" t="str">
        <f aca="false">IF(AND(Y$5&gt;=$K99,Y$5&lt;=$L99,COUNTIF(휴일!$A$2:$A$20,Y$5)=0),IF($G99="선택","□","■"),"")</f>
        <v/>
      </c>
      <c r="Z99" s="37" t="str">
        <f aca="false">IF(AND(Z$5&gt;=$K99,Z$5&lt;=$L99,COUNTIF(휴일!$A$2:$A$20,Z$5)=0),IF($G99="선택","□","■"),"")</f>
        <v/>
      </c>
      <c r="AA99" s="37" t="str">
        <f aca="false">IF(AND(AA$5&gt;=$K99,AA$5&lt;=$L99,COUNTIF(휴일!$A$2:$A$20,AA$5)=0),IF($G99="선택","□","■"),"")</f>
        <v/>
      </c>
      <c r="AB99" s="37" t="str">
        <f aca="false">IF(AND(AB$5&gt;=$K99,AB$5&lt;=$L99,COUNTIF(휴일!$A$2:$A$20,AB$5)=0),IF($G99="선택","□","■"),"")</f>
        <v/>
      </c>
      <c r="AC99" s="37" t="str">
        <f aca="false">IF(AND(AC$5&gt;=$K99,AC$5&lt;=$L99,COUNTIF(휴일!$A$2:$A$20,AC$5)=0),IF($G99="선택","□","■"),"")</f>
        <v/>
      </c>
      <c r="AD99" s="37" t="str">
        <f aca="false">IF(AND(AD$5&gt;=$K99,AD$5&lt;=$L99,COUNTIF(휴일!$A$2:$A$20,AD$5)=0),IF($G99="선택","□","■"),"")</f>
        <v/>
      </c>
      <c r="AE99" s="37" t="str">
        <f aca="false">IF(AND(AE$5&gt;=$K99,AE$5&lt;=$L99,COUNTIF(휴일!$A$2:$A$20,AE$5)=0),IF($G99="선택","□","■"),"")</f>
        <v/>
      </c>
      <c r="AF99" s="37" t="str">
        <f aca="false">IF(AND(AF$5&gt;=$K99,AF$5&lt;=$L99,COUNTIF(휴일!$A$2:$A$20,AF$5)=0),IF($G99="선택","□","■"),"")</f>
        <v>■</v>
      </c>
    </row>
    <row r="100" customFormat="false" ht="30" hidden="false" customHeight="true" outlineLevel="0" collapsed="false">
      <c r="B100" s="23"/>
      <c r="C100" s="24"/>
      <c r="D100" s="25"/>
      <c r="E100" s="26" t="s">
        <v>285</v>
      </c>
      <c r="F100" s="27" t="s">
        <v>345</v>
      </c>
      <c r="G100" s="28" t="s">
        <v>30</v>
      </c>
      <c r="H100" s="28" t="s">
        <v>31</v>
      </c>
      <c r="I100" s="29" t="s">
        <v>346</v>
      </c>
      <c r="J100" s="30" t="s">
        <v>347</v>
      </c>
      <c r="K100" s="31" t="n">
        <v>46331</v>
      </c>
      <c r="L100" s="31" t="n">
        <v>46331</v>
      </c>
      <c r="M100" s="31"/>
      <c r="N100" s="31"/>
      <c r="O100" s="32" t="n">
        <f aca="false">IF(OR(K100="",L100=""),0,L100-K100+1-COUNTIFS(휴일!$A$2:$A$20,"&gt;="&amp;K100,휴일!$A$2:$A$20,"&lt;="&amp;L100))</f>
        <v>1</v>
      </c>
      <c r="P100" s="32" t="n">
        <f aca="false">IF(OR(M100="",N100=""),0,N100-M100+1-COUNTIFS(휴일!$A$2:$A$20,"&gt;="&amp;M100,휴일!$A$2:$A$20,"&lt;="&amp;N100))</f>
        <v>0</v>
      </c>
      <c r="Q100" s="33" t="n">
        <f aca="false">IF(O100=0,0,MAX(0,MIN(O100,$L$1-K100+1-COUNTIFS(휴일!$A$2:$A$20,"&gt;="&amp;K100,휴일!$A$2:$A$20,"&lt;="&amp;$L$1))))</f>
        <v>0</v>
      </c>
      <c r="R100" s="33" t="n">
        <f aca="false">IF(P100=0,0,MIN(P100,O100))</f>
        <v>0</v>
      </c>
      <c r="S100" s="34" t="n">
        <f aca="false">IFERROR(Q100/O100,0)</f>
        <v>0</v>
      </c>
      <c r="T100" s="34" t="n">
        <f aca="false">IFERROR(R100/O100,0)</f>
        <v>0</v>
      </c>
      <c r="U100" s="35" t="n">
        <f aca="false">IF(OR(O100=0,R100=0),0,MIN(1,R100/O100))</f>
        <v>0</v>
      </c>
      <c r="V100" s="36" t="n">
        <f aca="false">U100-S100</f>
        <v>0</v>
      </c>
      <c r="W100" s="37" t="str">
        <f aca="false">IF(AND(W$5&gt;=$K100,W$5&lt;=$L100,COUNTIF(휴일!$A$2:$A$20,W$5)=0),IF($G100="선택","□","■"),"")</f>
        <v/>
      </c>
      <c r="X100" s="37" t="str">
        <f aca="false">IF(AND(X$5&gt;=$K100,X$5&lt;=$L100,COUNTIF(휴일!$A$2:$A$20,X$5)=0),IF($G100="선택","□","■"),"")</f>
        <v/>
      </c>
      <c r="Y100" s="37" t="str">
        <f aca="false">IF(AND(Y$5&gt;=$K100,Y$5&lt;=$L100,COUNTIF(휴일!$A$2:$A$20,Y$5)=0),IF($G100="선택","□","■"),"")</f>
        <v/>
      </c>
      <c r="Z100" s="37" t="str">
        <f aca="false">IF(AND(Z$5&gt;=$K100,Z$5&lt;=$L100,COUNTIF(휴일!$A$2:$A$20,Z$5)=0),IF($G100="선택","□","■"),"")</f>
        <v/>
      </c>
      <c r="AA100" s="37" t="str">
        <f aca="false">IF(AND(AA$5&gt;=$K100,AA$5&lt;=$L100,COUNTIF(휴일!$A$2:$A$20,AA$5)=0),IF($G100="선택","□","■"),"")</f>
        <v/>
      </c>
      <c r="AB100" s="37" t="str">
        <f aca="false">IF(AND(AB$5&gt;=$K100,AB$5&lt;=$L100,COUNTIF(휴일!$A$2:$A$20,AB$5)=0),IF($G100="선택","□","■"),"")</f>
        <v/>
      </c>
      <c r="AC100" s="37" t="str">
        <f aca="false">IF(AND(AC$5&gt;=$K100,AC$5&lt;=$L100,COUNTIF(휴일!$A$2:$A$20,AC$5)=0),IF($G100="선택","□","■"),"")</f>
        <v/>
      </c>
      <c r="AD100" s="37" t="str">
        <f aca="false">IF(AND(AD$5&gt;=$K100,AD$5&lt;=$L100,COUNTIF(휴일!$A$2:$A$20,AD$5)=0),IF($G100="선택","□","■"),"")</f>
        <v/>
      </c>
      <c r="AE100" s="37" t="str">
        <f aca="false">IF(AND(AE$5&gt;=$K100,AE$5&lt;=$L100,COUNTIF(휴일!$A$2:$A$20,AE$5)=0),IF($G100="선택","□","■"),"")</f>
        <v/>
      </c>
      <c r="AF100" s="37" t="str">
        <f aca="false">IF(AND(AF$5&gt;=$K100,AF$5&lt;=$L100,COUNTIF(휴일!$A$2:$A$20,AF$5)=0),IF($G100="선택","□","■"),"")</f>
        <v>■</v>
      </c>
    </row>
    <row r="101" customFormat="false" ht="7.5" hidden="false" customHeight="true" outlineLevel="0" collapsed="false">
      <c r="B101" s="23"/>
      <c r="C101" s="24"/>
      <c r="D101" s="25"/>
      <c r="E101" s="26"/>
      <c r="F101" s="38"/>
      <c r="G101" s="28"/>
      <c r="H101" s="28"/>
      <c r="I101" s="28"/>
      <c r="J101" s="28"/>
      <c r="K101" s="31"/>
      <c r="L101" s="31"/>
      <c r="M101" s="31"/>
      <c r="N101" s="31"/>
      <c r="O101" s="32"/>
      <c r="P101" s="32"/>
      <c r="Q101" s="32"/>
      <c r="R101" s="32"/>
      <c r="S101" s="34"/>
      <c r="T101" s="34"/>
      <c r="U101" s="34"/>
      <c r="V101" s="34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customFormat="false" ht="30" hidden="false" customHeight="true" outlineLevel="0" collapsed="false">
      <c r="B102" s="23" t="n">
        <v>7</v>
      </c>
      <c r="C102" s="24" t="n">
        <v>0</v>
      </c>
      <c r="D102" s="25" t="s">
        <v>348</v>
      </c>
      <c r="E102" s="26" t="s">
        <v>349</v>
      </c>
      <c r="F102" s="27" t="s">
        <v>350</v>
      </c>
      <c r="G102" s="28" t="s">
        <v>351</v>
      </c>
      <c r="H102" s="28" t="s">
        <v>31</v>
      </c>
      <c r="I102" s="29" t="s">
        <v>352</v>
      </c>
      <c r="J102" s="30" t="s">
        <v>353</v>
      </c>
      <c r="K102" s="31" t="n">
        <v>46330</v>
      </c>
      <c r="L102" s="31" t="n">
        <v>46330</v>
      </c>
      <c r="M102" s="31"/>
      <c r="N102" s="31"/>
      <c r="O102" s="32" t="n">
        <f aca="false">IF(OR(K102="",L102=""),0,L102-K102+1-COUNTIFS(휴일!$A$2:$A$20,"&gt;="&amp;K102,휴일!$A$2:$A$20,"&lt;="&amp;L102))</f>
        <v>1</v>
      </c>
      <c r="P102" s="32" t="n">
        <f aca="false">IF(OR(M102="",N102=""),0,N102-M102+1-COUNTIFS(휴일!$A$2:$A$20,"&gt;="&amp;M102,휴일!$A$2:$A$20,"&lt;="&amp;N102))</f>
        <v>0</v>
      </c>
      <c r="Q102" s="33" t="n">
        <f aca="false">IF(O102=0,0,MAX(0,MIN(O102,$L$1-K102+1-COUNTIFS(휴일!$A$2:$A$20,"&gt;="&amp;K102,휴일!$A$2:$A$20,"&lt;="&amp;$L$1))))</f>
        <v>0</v>
      </c>
      <c r="R102" s="33" t="n">
        <f aca="false">IF(P102=0,0,MIN(P102,O102))</f>
        <v>0</v>
      </c>
      <c r="S102" s="34" t="n">
        <f aca="false">IFERROR(Q102/O102,0)</f>
        <v>0</v>
      </c>
      <c r="T102" s="34" t="n">
        <f aca="false">IFERROR(R102/O102,0)</f>
        <v>0</v>
      </c>
      <c r="U102" s="35" t="n">
        <f aca="false">IF(OR(O102=0,R102=0),0,MIN(1,R102/O102))</f>
        <v>0</v>
      </c>
      <c r="V102" s="36" t="n">
        <f aca="false">U102-S102</f>
        <v>0</v>
      </c>
      <c r="W102" s="37" t="str">
        <f aca="false">IF(AND(W$5&gt;=$K102,W$5&lt;=$L102,COUNTIF(휴일!$A$2:$A$20,W$5)=0),IF($G102="선택","□","■"),"")</f>
        <v/>
      </c>
      <c r="X102" s="37" t="str">
        <f aca="false">IF(AND(X$5&gt;=$K102,X$5&lt;=$L102,COUNTIF(휴일!$A$2:$A$20,X$5)=0),IF($G102="선택","□","■"),"")</f>
        <v/>
      </c>
      <c r="Y102" s="37" t="str">
        <f aca="false">IF(AND(Y$5&gt;=$K102,Y$5&lt;=$L102,COUNTIF(휴일!$A$2:$A$20,Y$5)=0),IF($G102="선택","□","■"),"")</f>
        <v/>
      </c>
      <c r="Z102" s="37" t="str">
        <f aca="false">IF(AND(Z$5&gt;=$K102,Z$5&lt;=$L102,COUNTIF(휴일!$A$2:$A$20,Z$5)=0),IF($G102="선택","□","■"),"")</f>
        <v/>
      </c>
      <c r="AA102" s="37" t="str">
        <f aca="false">IF(AND(AA$5&gt;=$K102,AA$5&lt;=$L102,COUNTIF(휴일!$A$2:$A$20,AA$5)=0),IF($G102="선택","□","■"),"")</f>
        <v/>
      </c>
      <c r="AB102" s="37" t="str">
        <f aca="false">IF(AND(AB$5&gt;=$K102,AB$5&lt;=$L102,COUNTIF(휴일!$A$2:$A$20,AB$5)=0),IF($G102="선택","□","■"),"")</f>
        <v/>
      </c>
      <c r="AC102" s="37" t="str">
        <f aca="false">IF(AND(AC$5&gt;=$K102,AC$5&lt;=$L102,COUNTIF(휴일!$A$2:$A$20,AC$5)=0),IF($G102="선택","□","■"),"")</f>
        <v/>
      </c>
      <c r="AD102" s="37" t="str">
        <f aca="false">IF(AND(AD$5&gt;=$K102,AD$5&lt;=$L102,COUNTIF(휴일!$A$2:$A$20,AD$5)=0),IF($G102="선택","□","■"),"")</f>
        <v/>
      </c>
      <c r="AE102" s="37" t="str">
        <f aca="false">IF(AND(AE$5&gt;=$K102,AE$5&lt;=$L102,COUNTIF(휴일!$A$2:$A$20,AE$5)=0),IF($G102="선택","□","■"),"")</f>
        <v>□</v>
      </c>
      <c r="AF102" s="37" t="str">
        <f aca="false">IF(AND(AF$5&gt;=$K102,AF$5&lt;=$L102,COUNTIF(휴일!$A$2:$A$20,AF$5)=0),IF($G102="선택","□","■"),"")</f>
        <v/>
      </c>
    </row>
    <row r="103" customFormat="false" ht="30" hidden="false" customHeight="true" outlineLevel="0" collapsed="false">
      <c r="B103" s="23"/>
      <c r="C103" s="24"/>
      <c r="D103" s="25"/>
      <c r="E103" s="26" t="s">
        <v>349</v>
      </c>
      <c r="F103" s="27" t="s">
        <v>354</v>
      </c>
      <c r="G103" s="28" t="s">
        <v>351</v>
      </c>
      <c r="H103" s="28" t="s">
        <v>31</v>
      </c>
      <c r="I103" s="29" t="s">
        <v>355</v>
      </c>
      <c r="J103" s="30" t="s">
        <v>356</v>
      </c>
      <c r="K103" s="31" t="n">
        <v>46330</v>
      </c>
      <c r="L103" s="31" t="n">
        <v>46330</v>
      </c>
      <c r="M103" s="31"/>
      <c r="N103" s="31"/>
      <c r="O103" s="32" t="n">
        <f aca="false">IF(OR(K103="",L103=""),0,L103-K103+1-COUNTIFS(휴일!$A$2:$A$20,"&gt;="&amp;K103,휴일!$A$2:$A$20,"&lt;="&amp;L103))</f>
        <v>1</v>
      </c>
      <c r="P103" s="32" t="n">
        <f aca="false">IF(OR(M103="",N103=""),0,N103-M103+1-COUNTIFS(휴일!$A$2:$A$20,"&gt;="&amp;M103,휴일!$A$2:$A$20,"&lt;="&amp;N103))</f>
        <v>0</v>
      </c>
      <c r="Q103" s="33" t="n">
        <f aca="false">IF(O103=0,0,MAX(0,MIN(O103,$L$1-K103+1-COUNTIFS(휴일!$A$2:$A$20,"&gt;="&amp;K103,휴일!$A$2:$A$20,"&lt;="&amp;$L$1))))</f>
        <v>0</v>
      </c>
      <c r="R103" s="33" t="n">
        <f aca="false">IF(P103=0,0,MIN(P103,O103))</f>
        <v>0</v>
      </c>
      <c r="S103" s="34" t="n">
        <f aca="false">IFERROR(Q103/O103,0)</f>
        <v>0</v>
      </c>
      <c r="T103" s="34" t="n">
        <f aca="false">IFERROR(R103/O103,0)</f>
        <v>0</v>
      </c>
      <c r="U103" s="35" t="n">
        <f aca="false">IF(OR(O103=0,R103=0),0,MIN(1,R103/O103))</f>
        <v>0</v>
      </c>
      <c r="V103" s="36" t="n">
        <f aca="false">U103-S103</f>
        <v>0</v>
      </c>
      <c r="W103" s="37" t="str">
        <f aca="false">IF(AND(W$5&gt;=$K103,W$5&lt;=$L103,COUNTIF(휴일!$A$2:$A$20,W$5)=0),IF($G103="선택","□","■"),"")</f>
        <v/>
      </c>
      <c r="X103" s="37" t="str">
        <f aca="false">IF(AND(X$5&gt;=$K103,X$5&lt;=$L103,COUNTIF(휴일!$A$2:$A$20,X$5)=0),IF($G103="선택","□","■"),"")</f>
        <v/>
      </c>
      <c r="Y103" s="37" t="str">
        <f aca="false">IF(AND(Y$5&gt;=$K103,Y$5&lt;=$L103,COUNTIF(휴일!$A$2:$A$20,Y$5)=0),IF($G103="선택","□","■"),"")</f>
        <v/>
      </c>
      <c r="Z103" s="37" t="str">
        <f aca="false">IF(AND(Z$5&gt;=$K103,Z$5&lt;=$L103,COUNTIF(휴일!$A$2:$A$20,Z$5)=0),IF($G103="선택","□","■"),"")</f>
        <v/>
      </c>
      <c r="AA103" s="37" t="str">
        <f aca="false">IF(AND(AA$5&gt;=$K103,AA$5&lt;=$L103,COUNTIF(휴일!$A$2:$A$20,AA$5)=0),IF($G103="선택","□","■"),"")</f>
        <v/>
      </c>
      <c r="AB103" s="37" t="str">
        <f aca="false">IF(AND(AB$5&gt;=$K103,AB$5&lt;=$L103,COUNTIF(휴일!$A$2:$A$20,AB$5)=0),IF($G103="선택","□","■"),"")</f>
        <v/>
      </c>
      <c r="AC103" s="37" t="str">
        <f aca="false">IF(AND(AC$5&gt;=$K103,AC$5&lt;=$L103,COUNTIF(휴일!$A$2:$A$20,AC$5)=0),IF($G103="선택","□","■"),"")</f>
        <v/>
      </c>
      <c r="AD103" s="37" t="str">
        <f aca="false">IF(AND(AD$5&gt;=$K103,AD$5&lt;=$L103,COUNTIF(휴일!$A$2:$A$20,AD$5)=0),IF($G103="선택","□","■"),"")</f>
        <v/>
      </c>
      <c r="AE103" s="37" t="str">
        <f aca="false">IF(AND(AE$5&gt;=$K103,AE$5&lt;=$L103,COUNTIF(휴일!$A$2:$A$20,AE$5)=0),IF($G103="선택","□","■"),"")</f>
        <v>□</v>
      </c>
      <c r="AF103" s="37" t="str">
        <f aca="false">IF(AND(AF$5&gt;=$K103,AF$5&lt;=$L103,COUNTIF(휴일!$A$2:$A$20,AF$5)=0),IF($G103="선택","□","■"),"")</f>
        <v/>
      </c>
    </row>
    <row r="104" customFormat="false" ht="30" hidden="false" customHeight="true" outlineLevel="0" collapsed="false">
      <c r="B104" s="23"/>
      <c r="C104" s="24"/>
      <c r="D104" s="25"/>
      <c r="E104" s="26" t="s">
        <v>349</v>
      </c>
      <c r="F104" s="27" t="s">
        <v>357</v>
      </c>
      <c r="G104" s="28" t="s">
        <v>351</v>
      </c>
      <c r="H104" s="28" t="s">
        <v>31</v>
      </c>
      <c r="I104" s="29" t="s">
        <v>358</v>
      </c>
      <c r="J104" s="30" t="s">
        <v>359</v>
      </c>
      <c r="K104" s="31" t="n">
        <v>46330</v>
      </c>
      <c r="L104" s="31" t="n">
        <v>46330</v>
      </c>
      <c r="M104" s="31"/>
      <c r="N104" s="31"/>
      <c r="O104" s="32" t="n">
        <f aca="false">IF(OR(K104="",L104=""),0,L104-K104+1-COUNTIFS(휴일!$A$2:$A$20,"&gt;="&amp;K104,휴일!$A$2:$A$20,"&lt;="&amp;L104))</f>
        <v>1</v>
      </c>
      <c r="P104" s="32" t="n">
        <f aca="false">IF(OR(M104="",N104=""),0,N104-M104+1-COUNTIFS(휴일!$A$2:$A$20,"&gt;="&amp;M104,휴일!$A$2:$A$20,"&lt;="&amp;N104))</f>
        <v>0</v>
      </c>
      <c r="Q104" s="33" t="n">
        <f aca="false">IF(O104=0,0,MAX(0,MIN(O104,$L$1-K104+1-COUNTIFS(휴일!$A$2:$A$20,"&gt;="&amp;K104,휴일!$A$2:$A$20,"&lt;="&amp;$L$1))))</f>
        <v>0</v>
      </c>
      <c r="R104" s="33" t="n">
        <f aca="false">IF(P104=0,0,MIN(P104,O104))</f>
        <v>0</v>
      </c>
      <c r="S104" s="34" t="n">
        <f aca="false">IFERROR(Q104/O104,0)</f>
        <v>0</v>
      </c>
      <c r="T104" s="34" t="n">
        <f aca="false">IFERROR(R104/O104,0)</f>
        <v>0</v>
      </c>
      <c r="U104" s="35" t="n">
        <f aca="false">IF(OR(O104=0,R104=0),0,MIN(1,R104/O104))</f>
        <v>0</v>
      </c>
      <c r="V104" s="36" t="n">
        <f aca="false">U104-S104</f>
        <v>0</v>
      </c>
      <c r="W104" s="37" t="str">
        <f aca="false">IF(AND(W$5&gt;=$K104,W$5&lt;=$L104,COUNTIF(휴일!$A$2:$A$20,W$5)=0),IF($G104="선택","□","■"),"")</f>
        <v/>
      </c>
      <c r="X104" s="37" t="str">
        <f aca="false">IF(AND(X$5&gt;=$K104,X$5&lt;=$L104,COUNTIF(휴일!$A$2:$A$20,X$5)=0),IF($G104="선택","□","■"),"")</f>
        <v/>
      </c>
      <c r="Y104" s="37" t="str">
        <f aca="false">IF(AND(Y$5&gt;=$K104,Y$5&lt;=$L104,COUNTIF(휴일!$A$2:$A$20,Y$5)=0),IF($G104="선택","□","■"),"")</f>
        <v/>
      </c>
      <c r="Z104" s="37" t="str">
        <f aca="false">IF(AND(Z$5&gt;=$K104,Z$5&lt;=$L104,COUNTIF(휴일!$A$2:$A$20,Z$5)=0),IF($G104="선택","□","■"),"")</f>
        <v/>
      </c>
      <c r="AA104" s="37" t="str">
        <f aca="false">IF(AND(AA$5&gt;=$K104,AA$5&lt;=$L104,COUNTIF(휴일!$A$2:$A$20,AA$5)=0),IF($G104="선택","□","■"),"")</f>
        <v/>
      </c>
      <c r="AB104" s="37" t="str">
        <f aca="false">IF(AND(AB$5&gt;=$K104,AB$5&lt;=$L104,COUNTIF(휴일!$A$2:$A$20,AB$5)=0),IF($G104="선택","□","■"),"")</f>
        <v/>
      </c>
      <c r="AC104" s="37" t="str">
        <f aca="false">IF(AND(AC$5&gt;=$K104,AC$5&lt;=$L104,COUNTIF(휴일!$A$2:$A$20,AC$5)=0),IF($G104="선택","□","■"),"")</f>
        <v/>
      </c>
      <c r="AD104" s="37" t="str">
        <f aca="false">IF(AND(AD$5&gt;=$K104,AD$5&lt;=$L104,COUNTIF(휴일!$A$2:$A$20,AD$5)=0),IF($G104="선택","□","■"),"")</f>
        <v/>
      </c>
      <c r="AE104" s="37" t="str">
        <f aca="false">IF(AND(AE$5&gt;=$K104,AE$5&lt;=$L104,COUNTIF(휴일!$A$2:$A$20,AE$5)=0),IF($G104="선택","□","■"),"")</f>
        <v>□</v>
      </c>
      <c r="AF104" s="37" t="str">
        <f aca="false">IF(AND(AF$5&gt;=$K104,AF$5&lt;=$L104,COUNTIF(휴일!$A$2:$A$20,AF$5)=0),IF($G104="선택","□","■"),"")</f>
        <v/>
      </c>
    </row>
    <row r="105" customFormat="false" ht="30" hidden="false" customHeight="true" outlineLevel="0" collapsed="false">
      <c r="B105" s="23"/>
      <c r="C105" s="24"/>
      <c r="D105" s="25"/>
      <c r="E105" s="26" t="s">
        <v>349</v>
      </c>
      <c r="F105" s="27" t="s">
        <v>360</v>
      </c>
      <c r="G105" s="28" t="s">
        <v>351</v>
      </c>
      <c r="H105" s="28" t="s">
        <v>31</v>
      </c>
      <c r="I105" s="29" t="s">
        <v>361</v>
      </c>
      <c r="J105" s="30" t="s">
        <v>362</v>
      </c>
      <c r="K105" s="31" t="n">
        <v>46330</v>
      </c>
      <c r="L105" s="31" t="n">
        <v>46330</v>
      </c>
      <c r="M105" s="31"/>
      <c r="N105" s="31"/>
      <c r="O105" s="32" t="n">
        <f aca="false">IF(OR(K105="",L105=""),0,L105-K105+1-COUNTIFS(휴일!$A$2:$A$20,"&gt;="&amp;K105,휴일!$A$2:$A$20,"&lt;="&amp;L105))</f>
        <v>1</v>
      </c>
      <c r="P105" s="32" t="n">
        <f aca="false">IF(OR(M105="",N105=""),0,N105-M105+1-COUNTIFS(휴일!$A$2:$A$20,"&gt;="&amp;M105,휴일!$A$2:$A$20,"&lt;="&amp;N105))</f>
        <v>0</v>
      </c>
      <c r="Q105" s="33" t="n">
        <f aca="false">IF(O105=0,0,MAX(0,MIN(O105,$L$1-K105+1-COUNTIFS(휴일!$A$2:$A$20,"&gt;="&amp;K105,휴일!$A$2:$A$20,"&lt;="&amp;$L$1))))</f>
        <v>0</v>
      </c>
      <c r="R105" s="33" t="n">
        <f aca="false">IF(P105=0,0,MIN(P105,O105))</f>
        <v>0</v>
      </c>
      <c r="S105" s="34" t="n">
        <f aca="false">IFERROR(Q105/O105,0)</f>
        <v>0</v>
      </c>
      <c r="T105" s="34" t="n">
        <f aca="false">IFERROR(R105/O105,0)</f>
        <v>0</v>
      </c>
      <c r="U105" s="35" t="n">
        <f aca="false">IF(OR(O105=0,R105=0),0,MIN(1,R105/O105))</f>
        <v>0</v>
      </c>
      <c r="V105" s="36" t="n">
        <f aca="false">U105-S105</f>
        <v>0</v>
      </c>
      <c r="W105" s="37" t="str">
        <f aca="false">IF(AND(W$5&gt;=$K105,W$5&lt;=$L105,COUNTIF(휴일!$A$2:$A$20,W$5)=0),IF($G105="선택","□","■"),"")</f>
        <v/>
      </c>
      <c r="X105" s="37" t="str">
        <f aca="false">IF(AND(X$5&gt;=$K105,X$5&lt;=$L105,COUNTIF(휴일!$A$2:$A$20,X$5)=0),IF($G105="선택","□","■"),"")</f>
        <v/>
      </c>
      <c r="Y105" s="37" t="str">
        <f aca="false">IF(AND(Y$5&gt;=$K105,Y$5&lt;=$L105,COUNTIF(휴일!$A$2:$A$20,Y$5)=0),IF($G105="선택","□","■"),"")</f>
        <v/>
      </c>
      <c r="Z105" s="37" t="str">
        <f aca="false">IF(AND(Z$5&gt;=$K105,Z$5&lt;=$L105,COUNTIF(휴일!$A$2:$A$20,Z$5)=0),IF($G105="선택","□","■"),"")</f>
        <v/>
      </c>
      <c r="AA105" s="37" t="str">
        <f aca="false">IF(AND(AA$5&gt;=$K105,AA$5&lt;=$L105,COUNTIF(휴일!$A$2:$A$20,AA$5)=0),IF($G105="선택","□","■"),"")</f>
        <v/>
      </c>
      <c r="AB105" s="37" t="str">
        <f aca="false">IF(AND(AB$5&gt;=$K105,AB$5&lt;=$L105,COUNTIF(휴일!$A$2:$A$20,AB$5)=0),IF($G105="선택","□","■"),"")</f>
        <v/>
      </c>
      <c r="AC105" s="37" t="str">
        <f aca="false">IF(AND(AC$5&gt;=$K105,AC$5&lt;=$L105,COUNTIF(휴일!$A$2:$A$20,AC$5)=0),IF($G105="선택","□","■"),"")</f>
        <v/>
      </c>
      <c r="AD105" s="37" t="str">
        <f aca="false">IF(AND(AD$5&gt;=$K105,AD$5&lt;=$L105,COUNTIF(휴일!$A$2:$A$20,AD$5)=0),IF($G105="선택","□","■"),"")</f>
        <v/>
      </c>
      <c r="AE105" s="37" t="str">
        <f aca="false">IF(AND(AE$5&gt;=$K105,AE$5&lt;=$L105,COUNTIF(휴일!$A$2:$A$20,AE$5)=0),IF($G105="선택","□","■"),"")</f>
        <v>□</v>
      </c>
      <c r="AF105" s="37" t="str">
        <f aca="false">IF(AND(AF$5&gt;=$K105,AF$5&lt;=$L105,COUNTIF(휴일!$A$2:$A$20,AF$5)=0),IF($G105="선택","□","■"),"")</f>
        <v/>
      </c>
    </row>
    <row r="106" customFormat="false" ht="30" hidden="false" customHeight="true" outlineLevel="0" collapsed="false">
      <c r="B106" s="23"/>
      <c r="C106" s="24"/>
      <c r="D106" s="25"/>
      <c r="E106" s="26" t="s">
        <v>349</v>
      </c>
      <c r="F106" s="27" t="s">
        <v>363</v>
      </c>
      <c r="G106" s="28" t="s">
        <v>351</v>
      </c>
      <c r="H106" s="28" t="s">
        <v>31</v>
      </c>
      <c r="I106" s="29" t="s">
        <v>364</v>
      </c>
      <c r="J106" s="30" t="s">
        <v>365</v>
      </c>
      <c r="K106" s="31" t="n">
        <v>46330</v>
      </c>
      <c r="L106" s="31" t="n">
        <v>46330</v>
      </c>
      <c r="M106" s="31"/>
      <c r="N106" s="31"/>
      <c r="O106" s="32" t="n">
        <f aca="false">IF(OR(K106="",L106=""),0,L106-K106+1-COUNTIFS(휴일!$A$2:$A$20,"&gt;="&amp;K106,휴일!$A$2:$A$20,"&lt;="&amp;L106))</f>
        <v>1</v>
      </c>
      <c r="P106" s="32" t="n">
        <f aca="false">IF(OR(M106="",N106=""),0,N106-M106+1-COUNTIFS(휴일!$A$2:$A$20,"&gt;="&amp;M106,휴일!$A$2:$A$20,"&lt;="&amp;N106))</f>
        <v>0</v>
      </c>
      <c r="Q106" s="33" t="n">
        <f aca="false">IF(O106=0,0,MAX(0,MIN(O106,$L$1-K106+1-COUNTIFS(휴일!$A$2:$A$20,"&gt;="&amp;K106,휴일!$A$2:$A$20,"&lt;="&amp;$L$1))))</f>
        <v>0</v>
      </c>
      <c r="R106" s="33" t="n">
        <f aca="false">IF(P106=0,0,MIN(P106,O106))</f>
        <v>0</v>
      </c>
      <c r="S106" s="34" t="n">
        <f aca="false">IFERROR(Q106/O106,0)</f>
        <v>0</v>
      </c>
      <c r="T106" s="34" t="n">
        <f aca="false">IFERROR(R106/O106,0)</f>
        <v>0</v>
      </c>
      <c r="U106" s="35" t="n">
        <f aca="false">IF(OR(O106=0,R106=0),0,MIN(1,R106/O106))</f>
        <v>0</v>
      </c>
      <c r="V106" s="36" t="n">
        <f aca="false">U106-S106</f>
        <v>0</v>
      </c>
      <c r="W106" s="37" t="str">
        <f aca="false">IF(AND(W$5&gt;=$K106,W$5&lt;=$L106,COUNTIF(휴일!$A$2:$A$20,W$5)=0),IF($G106="선택","□","■"),"")</f>
        <v/>
      </c>
      <c r="X106" s="37" t="str">
        <f aca="false">IF(AND(X$5&gt;=$K106,X$5&lt;=$L106,COUNTIF(휴일!$A$2:$A$20,X$5)=0),IF($G106="선택","□","■"),"")</f>
        <v/>
      </c>
      <c r="Y106" s="37" t="str">
        <f aca="false">IF(AND(Y$5&gt;=$K106,Y$5&lt;=$L106,COUNTIF(휴일!$A$2:$A$20,Y$5)=0),IF($G106="선택","□","■"),"")</f>
        <v/>
      </c>
      <c r="Z106" s="37" t="str">
        <f aca="false">IF(AND(Z$5&gt;=$K106,Z$5&lt;=$L106,COUNTIF(휴일!$A$2:$A$20,Z$5)=0),IF($G106="선택","□","■"),"")</f>
        <v/>
      </c>
      <c r="AA106" s="37" t="str">
        <f aca="false">IF(AND(AA$5&gt;=$K106,AA$5&lt;=$L106,COUNTIF(휴일!$A$2:$A$20,AA$5)=0),IF($G106="선택","□","■"),"")</f>
        <v/>
      </c>
      <c r="AB106" s="37" t="str">
        <f aca="false">IF(AND(AB$5&gt;=$K106,AB$5&lt;=$L106,COUNTIF(휴일!$A$2:$A$20,AB$5)=0),IF($G106="선택","□","■"),"")</f>
        <v/>
      </c>
      <c r="AC106" s="37" t="str">
        <f aca="false">IF(AND(AC$5&gt;=$K106,AC$5&lt;=$L106,COUNTIF(휴일!$A$2:$A$20,AC$5)=0),IF($G106="선택","□","■"),"")</f>
        <v/>
      </c>
      <c r="AD106" s="37" t="str">
        <f aca="false">IF(AND(AD$5&gt;=$K106,AD$5&lt;=$L106,COUNTIF(휴일!$A$2:$A$20,AD$5)=0),IF($G106="선택","□","■"),"")</f>
        <v/>
      </c>
      <c r="AE106" s="37" t="str">
        <f aca="false">IF(AND(AE$5&gt;=$K106,AE$5&lt;=$L106,COUNTIF(휴일!$A$2:$A$20,AE$5)=0),IF($G106="선택","□","■"),"")</f>
        <v>□</v>
      </c>
      <c r="AF106" s="37" t="str">
        <f aca="false">IF(AND(AF$5&gt;=$K106,AF$5&lt;=$L106,COUNTIF(휴일!$A$2:$A$20,AF$5)=0),IF($G106="선택","□","■"),"")</f>
        <v/>
      </c>
    </row>
    <row r="107" customFormat="false" ht="30" hidden="false" customHeight="true" outlineLevel="0" collapsed="false">
      <c r="B107" s="23"/>
      <c r="C107" s="24"/>
      <c r="D107" s="25"/>
      <c r="E107" s="26" t="s">
        <v>366</v>
      </c>
      <c r="F107" s="27" t="s">
        <v>367</v>
      </c>
      <c r="G107" s="28" t="s">
        <v>351</v>
      </c>
      <c r="H107" s="28" t="s">
        <v>31</v>
      </c>
      <c r="I107" s="29" t="s">
        <v>368</v>
      </c>
      <c r="J107" s="30" t="s">
        <v>369</v>
      </c>
      <c r="K107" s="31" t="n">
        <v>46330</v>
      </c>
      <c r="L107" s="31" t="n">
        <v>46330</v>
      </c>
      <c r="M107" s="31"/>
      <c r="N107" s="31"/>
      <c r="O107" s="32" t="n">
        <f aca="false">IF(OR(K107="",L107=""),0,L107-K107+1-COUNTIFS(휴일!$A$2:$A$20,"&gt;="&amp;K107,휴일!$A$2:$A$20,"&lt;="&amp;L107))</f>
        <v>1</v>
      </c>
      <c r="P107" s="32" t="n">
        <f aca="false">IF(OR(M107="",N107=""),0,N107-M107+1-COUNTIFS(휴일!$A$2:$A$20,"&gt;="&amp;M107,휴일!$A$2:$A$20,"&lt;="&amp;N107))</f>
        <v>0</v>
      </c>
      <c r="Q107" s="33" t="n">
        <f aca="false">IF(O107=0,0,MAX(0,MIN(O107,$L$1-K107+1-COUNTIFS(휴일!$A$2:$A$20,"&gt;="&amp;K107,휴일!$A$2:$A$20,"&lt;="&amp;$L$1))))</f>
        <v>0</v>
      </c>
      <c r="R107" s="33" t="n">
        <f aca="false">IF(P107=0,0,MIN(P107,O107))</f>
        <v>0</v>
      </c>
      <c r="S107" s="34" t="n">
        <f aca="false">IFERROR(Q107/O107,0)</f>
        <v>0</v>
      </c>
      <c r="T107" s="34" t="n">
        <f aca="false">IFERROR(R107/O107,0)</f>
        <v>0</v>
      </c>
      <c r="U107" s="35" t="n">
        <f aca="false">IF(OR(O107=0,R107=0),0,MIN(1,R107/O107))</f>
        <v>0</v>
      </c>
      <c r="V107" s="36" t="n">
        <f aca="false">U107-S107</f>
        <v>0</v>
      </c>
      <c r="W107" s="37" t="str">
        <f aca="false">IF(AND(W$5&gt;=$K107,W$5&lt;=$L107,COUNTIF(휴일!$A$2:$A$20,W$5)=0),IF($G107="선택","□","■"),"")</f>
        <v/>
      </c>
      <c r="X107" s="37" t="str">
        <f aca="false">IF(AND(X$5&gt;=$K107,X$5&lt;=$L107,COUNTIF(휴일!$A$2:$A$20,X$5)=0),IF($G107="선택","□","■"),"")</f>
        <v/>
      </c>
      <c r="Y107" s="37" t="str">
        <f aca="false">IF(AND(Y$5&gt;=$K107,Y$5&lt;=$L107,COUNTIF(휴일!$A$2:$A$20,Y$5)=0),IF($G107="선택","□","■"),"")</f>
        <v/>
      </c>
      <c r="Z107" s="37" t="str">
        <f aca="false">IF(AND(Z$5&gt;=$K107,Z$5&lt;=$L107,COUNTIF(휴일!$A$2:$A$20,Z$5)=0),IF($G107="선택","□","■"),"")</f>
        <v/>
      </c>
      <c r="AA107" s="37" t="str">
        <f aca="false">IF(AND(AA$5&gt;=$K107,AA$5&lt;=$L107,COUNTIF(휴일!$A$2:$A$20,AA$5)=0),IF($G107="선택","□","■"),"")</f>
        <v/>
      </c>
      <c r="AB107" s="37" t="str">
        <f aca="false">IF(AND(AB$5&gt;=$K107,AB$5&lt;=$L107,COUNTIF(휴일!$A$2:$A$20,AB$5)=0),IF($G107="선택","□","■"),"")</f>
        <v/>
      </c>
      <c r="AC107" s="37" t="str">
        <f aca="false">IF(AND(AC$5&gt;=$K107,AC$5&lt;=$L107,COUNTIF(휴일!$A$2:$A$20,AC$5)=0),IF($G107="선택","□","■"),"")</f>
        <v/>
      </c>
      <c r="AD107" s="37" t="str">
        <f aca="false">IF(AND(AD$5&gt;=$K107,AD$5&lt;=$L107,COUNTIF(휴일!$A$2:$A$20,AD$5)=0),IF($G107="선택","□","■"),"")</f>
        <v/>
      </c>
      <c r="AE107" s="37" t="str">
        <f aca="false">IF(AND(AE$5&gt;=$K107,AE$5&lt;=$L107,COUNTIF(휴일!$A$2:$A$20,AE$5)=0),IF($G107="선택","□","■"),"")</f>
        <v>□</v>
      </c>
      <c r="AF107" s="37" t="str">
        <f aca="false">IF(AND(AF$5&gt;=$K107,AF$5&lt;=$L107,COUNTIF(휴일!$A$2:$A$20,AF$5)=0),IF($G107="선택","□","■"),"")</f>
        <v/>
      </c>
    </row>
    <row r="108" customFormat="false" ht="33" hidden="false" customHeight="true" outlineLevel="0" collapsed="false">
      <c r="B108" s="40" t="s">
        <v>370</v>
      </c>
      <c r="C108" s="40"/>
      <c r="D108" s="40"/>
      <c r="E108" s="40"/>
      <c r="F108" s="40"/>
      <c r="G108" s="40"/>
      <c r="H108" s="40"/>
      <c r="I108" s="40"/>
      <c r="J108" s="40"/>
      <c r="K108" s="41"/>
      <c r="L108" s="41"/>
      <c r="M108" s="41"/>
      <c r="N108" s="41"/>
      <c r="O108" s="41" t="n">
        <f aca="false">SUMIF($G$6:$G$107,"&lt;&gt;선택",O6:O107)</f>
        <v>92</v>
      </c>
      <c r="P108" s="41" t="n">
        <f aca="false">SUMIF($G$6:$G$107,"&lt;&gt;선택",P6:P107)</f>
        <v>10</v>
      </c>
      <c r="Q108" s="41" t="n">
        <f aca="false">SUMIF($G$6:$G$107,"&lt;&gt;선택",Q6:Q107)</f>
        <v>13</v>
      </c>
      <c r="R108" s="41" t="n">
        <f aca="false">SUMIF($G$6:$G$107,"&lt;&gt;선택",R6:R107)</f>
        <v>10</v>
      </c>
      <c r="S108" s="42" t="n">
        <f aca="false">IFERROR(Q108/O108,0)</f>
        <v>0.141304347826087</v>
      </c>
      <c r="T108" s="42" t="n">
        <f aca="false">IFERROR(R108/O108,0)</f>
        <v>0.108695652173913</v>
      </c>
      <c r="U108" s="42" t="n">
        <f aca="false">U5</f>
        <v>0.0769230769230769</v>
      </c>
      <c r="V108" s="42" t="n">
        <f aca="false">V5</f>
        <v>-0.06438127090301</v>
      </c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</row>
    <row r="110" customFormat="false" ht="12.75" hidden="false" customHeight="true" outlineLevel="0" collapsed="false">
      <c r="B110" s="44" t="s">
        <v>371</v>
      </c>
    </row>
    <row r="111" customFormat="false" ht="12.75" hidden="false" customHeight="true" outlineLevel="0" collapsed="false">
      <c r="B111" s="45" t="s">
        <v>372</v>
      </c>
    </row>
    <row r="112" customFormat="false" ht="12.75" hidden="false" customHeight="true" outlineLevel="0" collapsed="false">
      <c r="B112" s="45" t="s">
        <v>373</v>
      </c>
    </row>
    <row r="113" customFormat="false" ht="12.75" hidden="false" customHeight="true" outlineLevel="0" collapsed="false">
      <c r="B113" s="45" t="s">
        <v>374</v>
      </c>
    </row>
    <row r="114" customFormat="false" ht="12.75" hidden="false" customHeight="true" outlineLevel="0" collapsed="false">
      <c r="B114" s="45" t="s">
        <v>375</v>
      </c>
    </row>
  </sheetData>
  <mergeCells count="23">
    <mergeCell ref="B3:E4"/>
    <mergeCell ref="F3:F5"/>
    <mergeCell ref="G3:G5"/>
    <mergeCell ref="H3:H5"/>
    <mergeCell ref="I3:I5"/>
    <mergeCell ref="J3:J5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V3"/>
    <mergeCell ref="W3:AF3"/>
    <mergeCell ref="W4:AA4"/>
    <mergeCell ref="AB4:AF4"/>
    <mergeCell ref="D5:E5"/>
    <mergeCell ref="B108:J108"/>
    <mergeCell ref="W108:AF108"/>
  </mergeCells>
  <conditionalFormatting sqref="O6:R107">
    <cfRule type="cellIs" priority="2" operator="equal" aboveAverage="0" equalAverage="0" bottom="0" percent="0" rank="0" text="" dxfId="0">
      <formula>0</formula>
    </cfRule>
  </conditionalFormatting>
  <conditionalFormatting sqref="S6:V107">
    <cfRule type="colorScale" priority="3">
      <colorScale>
        <cfvo type="percent" val="0"/>
        <cfvo type="max" val="0"/>
        <color rgb="FFFFFFFF"/>
        <color rgb="FF44F300"/>
      </colorScale>
    </cfRule>
  </conditionalFormatting>
  <conditionalFormatting sqref="V6:V107">
    <cfRule type="colorScale" priority="4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W6:AF107">
    <cfRule type="expression" priority="5" aboveAverage="0" equalAverage="0" bottom="0" percent="0" rank="0" text="" dxfId="1">
      <formula>AND(W$5&gt;=$M6,W$5&lt;=$N6,W$5&lt;=$L$1,COUNTIF(휴일!$A$2:$A$20,W$5)=0)</formula>
    </cfRule>
    <cfRule type="expression" priority="6" aboveAverage="0" equalAverage="0" bottom="0" percent="0" rank="0" text="" dxfId="2">
      <formula>AND(W$5&gt;=$K6,W$5&lt;=$L6,COUNTIF(휴일!$A$2:$A$20,W$5)=0)</formula>
    </cfRule>
  </conditionalFormatting>
  <dataValidations count="2">
    <dataValidation allowBlank="true" errorStyle="stop" operator="between" showDropDown="false" showErrorMessage="true" showInputMessage="false" sqref="K6:N107" type="custom">
      <formula1>OR(NOT(ISERROR(DATEVALUE(K6))),AND(ISNUMBER(K6),LEFT(CELL("format",K6))="D"))</formula1>
      <formula2>0</formula2>
    </dataValidation>
    <dataValidation allowBlank="false" errorStyle="stop" operator="between" showDropDown="false" showErrorMessage="false" showInputMessage="false" sqref="G6:G107" type="list">
      <formula1>"필수,선택"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546875" defaultRowHeight="12.75" zeroHeight="false" outlineLevelRow="0" outlineLevelCol="0"/>
  <cols>
    <col collapsed="false" customWidth="true" hidden="false" outlineLevel="0" max="1" min="1" style="1" width="16.87"/>
    <col collapsed="false" customWidth="true" hidden="false" outlineLevel="0" max="2" min="2" style="1" width="79.98"/>
  </cols>
  <sheetData>
    <row r="1" customFormat="false" ht="15" hidden="false" customHeight="true" outlineLevel="0" collapsed="false">
      <c r="A1" s="46" t="s">
        <v>376</v>
      </c>
      <c r="B1" s="47" t="s">
        <v>377</v>
      </c>
    </row>
    <row r="2" customFormat="false" ht="15" hidden="false" customHeight="true" outlineLevel="0" collapsed="false">
      <c r="A2" s="48" t="n">
        <v>46326</v>
      </c>
      <c r="B2" s="49" t="s">
        <v>378</v>
      </c>
    </row>
    <row r="3" customFormat="false" ht="15" hidden="false" customHeight="true" outlineLevel="0" collapsed="false">
      <c r="A3" s="48" t="n">
        <v>46327</v>
      </c>
      <c r="B3" s="50" t="s">
        <v>379</v>
      </c>
    </row>
    <row r="4" customFormat="false" ht="15" hidden="false" customHeight="true" outlineLevel="0" collapsed="false">
      <c r="A4" s="48"/>
      <c r="B4" s="50"/>
    </row>
    <row r="5" customFormat="false" ht="15" hidden="false" customHeight="true" outlineLevel="0" collapsed="false">
      <c r="A5" s="48"/>
      <c r="B5" s="50"/>
    </row>
    <row r="6" customFormat="false" ht="15" hidden="false" customHeight="true" outlineLevel="0" collapsed="false">
      <c r="A6" s="48"/>
      <c r="B6" s="50"/>
    </row>
    <row r="7" customFormat="false" ht="15" hidden="false" customHeight="true" outlineLevel="0" collapsed="false">
      <c r="A7" s="48"/>
      <c r="B7" s="50"/>
    </row>
    <row r="8" customFormat="false" ht="15" hidden="false" customHeight="true" outlineLevel="0" collapsed="false">
      <c r="A8" s="48"/>
      <c r="B8" s="50"/>
    </row>
    <row r="9" customFormat="false" ht="15" hidden="false" customHeight="true" outlineLevel="0" collapsed="false">
      <c r="A9" s="48"/>
      <c r="B9" s="50"/>
    </row>
    <row r="10" customFormat="false" ht="15" hidden="false" customHeight="true" outlineLevel="0" collapsed="false">
      <c r="A10" s="48"/>
      <c r="B10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2026-10-27T09:27:28Z</dcterms:created>
  <dc:creator>openpyxl</dc:creator>
  <dc:description/>
  <dc:language>en-US</dc:language>
  <cp:lastModifiedBy/>
  <dcterms:modified xsi:type="dcterms:W3CDTF">2026-10-27T18:51:25Z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